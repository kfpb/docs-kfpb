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KF_User123\Downloads\"/>
    </mc:Choice>
  </mc:AlternateContent>
  <xr:revisionPtr revIDLastSave="0" documentId="13_ncr:1_{18DBC7BE-186E-4992-9755-9E994E24D4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" sheetId="1" r:id="rId1"/>
    <sheet name="1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G40" i="1"/>
  <c r="F40" i="1"/>
  <c r="B49" i="1"/>
  <c r="F10" i="1" s="1"/>
  <c r="G10" i="1" s="1"/>
  <c r="B46" i="1"/>
  <c r="D4" i="1"/>
  <c r="D15" i="1"/>
  <c r="D23" i="1"/>
  <c r="D31" i="1"/>
  <c r="D39" i="1"/>
  <c r="B52" i="1"/>
  <c r="D16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C16" i="1"/>
  <c r="C17" i="1"/>
  <c r="D17" i="1" s="1"/>
  <c r="C18" i="1"/>
  <c r="D18" i="1" s="1"/>
  <c r="C19" i="1"/>
  <c r="C20" i="1"/>
  <c r="D20" i="1" s="1"/>
  <c r="C21" i="1"/>
  <c r="D21" i="1" s="1"/>
  <c r="C22" i="1"/>
  <c r="D22" i="1" s="1"/>
  <c r="C23" i="1"/>
  <c r="C24" i="1"/>
  <c r="C25" i="1"/>
  <c r="D25" i="1" s="1"/>
  <c r="C26" i="1"/>
  <c r="D26" i="1" s="1"/>
  <c r="C27" i="1"/>
  <c r="C28" i="1"/>
  <c r="D28" i="1" s="1"/>
  <c r="C29" i="1"/>
  <c r="D29" i="1" s="1"/>
  <c r="C30" i="1"/>
  <c r="D30" i="1" s="1"/>
  <c r="C31" i="1"/>
  <c r="C32" i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C40" i="1"/>
  <c r="C41" i="1"/>
  <c r="D41" i="1" s="1"/>
  <c r="C42" i="1"/>
  <c r="D42" i="1" s="1"/>
  <c r="C4" i="1"/>
  <c r="H3" i="1" l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F35" i="1"/>
  <c r="G35" i="1" s="1"/>
  <c r="F41" i="1"/>
  <c r="G41" i="1" s="1"/>
  <c r="F9" i="1"/>
  <c r="G9" i="1" s="1"/>
  <c r="H9" i="1" s="1"/>
  <c r="F24" i="1"/>
  <c r="G24" i="1" s="1"/>
  <c r="F31" i="1"/>
  <c r="G31" i="1" s="1"/>
  <c r="F15" i="1"/>
  <c r="G15" i="1" s="1"/>
  <c r="H15" i="1" s="1"/>
  <c r="F38" i="1"/>
  <c r="G38" i="1" s="1"/>
  <c r="F30" i="1"/>
  <c r="G30" i="1" s="1"/>
  <c r="F22" i="1"/>
  <c r="G22" i="1" s="1"/>
  <c r="F14" i="1"/>
  <c r="G14" i="1" s="1"/>
  <c r="H14" i="1" s="1"/>
  <c r="F6" i="1"/>
  <c r="G6" i="1" s="1"/>
  <c r="H6" i="1" s="1"/>
  <c r="F3" i="1"/>
  <c r="G3" i="1" s="1"/>
  <c r="F33" i="1"/>
  <c r="G33" i="1" s="1"/>
  <c r="F17" i="1"/>
  <c r="G17" i="1" s="1"/>
  <c r="H17" i="1" s="1"/>
  <c r="F32" i="1"/>
  <c r="G32" i="1" s="1"/>
  <c r="F16" i="1"/>
  <c r="G16" i="1" s="1"/>
  <c r="F39" i="1"/>
  <c r="G39" i="1" s="1"/>
  <c r="F7" i="1"/>
  <c r="G7" i="1" s="1"/>
  <c r="H7" i="1" s="1"/>
  <c r="F37" i="1"/>
  <c r="G37" i="1" s="1"/>
  <c r="F29" i="1"/>
  <c r="G29" i="1" s="1"/>
  <c r="F21" i="1"/>
  <c r="G21" i="1" s="1"/>
  <c r="F13" i="1"/>
  <c r="G13" i="1" s="1"/>
  <c r="H13" i="1" s="1"/>
  <c r="F5" i="1"/>
  <c r="G5" i="1" s="1"/>
  <c r="H5" i="1" s="1"/>
  <c r="F27" i="1"/>
  <c r="G27" i="1" s="1"/>
  <c r="F25" i="1"/>
  <c r="G25" i="1" s="1"/>
  <c r="F8" i="1"/>
  <c r="G8" i="1" s="1"/>
  <c r="H8" i="1" s="1"/>
  <c r="F23" i="1"/>
  <c r="G23" i="1" s="1"/>
  <c r="F36" i="1"/>
  <c r="G36" i="1" s="1"/>
  <c r="F28" i="1"/>
  <c r="G28" i="1" s="1"/>
  <c r="F20" i="1"/>
  <c r="G20" i="1" s="1"/>
  <c r="H20" i="1" s="1"/>
  <c r="F12" i="1"/>
  <c r="G12" i="1" s="1"/>
  <c r="F4" i="1"/>
  <c r="G4" i="1" s="1"/>
  <c r="H4" i="1" s="1"/>
  <c r="F19" i="1"/>
  <c r="G19" i="1" s="1"/>
  <c r="H19" i="1" s="1"/>
  <c r="F11" i="1"/>
  <c r="G11" i="1" s="1"/>
  <c r="H11" i="1" s="1"/>
  <c r="F42" i="1"/>
  <c r="G42" i="1" s="1"/>
  <c r="F34" i="1"/>
  <c r="G34" i="1" s="1"/>
  <c r="F26" i="1"/>
  <c r="G26" i="1" s="1"/>
  <c r="F18" i="1"/>
  <c r="G18" i="1" s="1"/>
  <c r="H18" i="1" s="1"/>
  <c r="D27" i="1"/>
  <c r="D19" i="1"/>
  <c r="D40" i="1"/>
  <c r="D32" i="1"/>
  <c r="D24" i="1"/>
  <c r="H32" i="1" l="1"/>
  <c r="H28" i="1"/>
  <c r="H34" i="1"/>
  <c r="H36" i="1"/>
  <c r="H21" i="1"/>
  <c r="H33" i="1"/>
  <c r="H31" i="1"/>
  <c r="H23" i="1"/>
  <c r="H29" i="1"/>
  <c r="H24" i="1"/>
  <c r="H37" i="1"/>
  <c r="H25" i="1"/>
  <c r="H22" i="1"/>
  <c r="H35" i="1"/>
  <c r="H12" i="1"/>
  <c r="H27" i="1"/>
  <c r="H16" i="1"/>
  <c r="H30" i="1"/>
  <c r="H10" i="1"/>
  <c r="E39" i="1"/>
  <c r="H39" i="1" s="1"/>
  <c r="H38" i="1"/>
  <c r="H26" i="1"/>
  <c r="E40" i="1" l="1"/>
  <c r="H40" i="1" s="1"/>
  <c r="E41" i="1" l="1"/>
  <c r="E42" i="1" l="1"/>
  <c r="H42" i="1" s="1"/>
  <c r="H41" i="1"/>
  <c r="H46" i="1" s="1"/>
</calcChain>
</file>

<file path=xl/sharedStrings.xml><?xml version="1.0" encoding="utf-8"?>
<sst xmlns="http://schemas.openxmlformats.org/spreadsheetml/2006/main" count="149" uniqueCount="123">
  <si>
    <t>No</t>
  </si>
  <si>
    <t>F(Z)</t>
  </si>
  <si>
    <t>BJ Sales</t>
  </si>
  <si>
    <t>Time</t>
  </si>
  <si>
    <t>F(X)</t>
  </si>
  <si>
    <t>f(X)</t>
  </si>
  <si>
    <t>X</t>
  </si>
  <si>
    <t>Z</t>
  </si>
  <si>
    <t>Frekuensi</t>
  </si>
  <si>
    <t>Rata-rata :</t>
  </si>
  <si>
    <t>Stand Deviasi :</t>
  </si>
  <si>
    <t>Jumlah Data :</t>
  </si>
  <si>
    <t>D= | F(Z)-F(X) |</t>
  </si>
  <si>
    <t>352241010/ FIRMANSYAH PURWADINNATA</t>
  </si>
  <si>
    <t>D Max</t>
  </si>
  <si>
    <t>time</t>
  </si>
  <si>
    <t>BJsales</t>
  </si>
  <si>
    <t>200.1</t>
  </si>
  <si>
    <t>199.5</t>
  </si>
  <si>
    <t>199.4</t>
  </si>
  <si>
    <t>198.9</t>
  </si>
  <si>
    <t>200.2</t>
  </si>
  <si>
    <t>198.6</t>
  </si>
  <si>
    <t>200.3</t>
  </si>
  <si>
    <t>201.2</t>
  </si>
  <si>
    <t>201.6</t>
  </si>
  <si>
    <t>201.5</t>
  </si>
  <si>
    <t>203.5</t>
  </si>
  <si>
    <t>204.9</t>
  </si>
  <si>
    <t>207.1</t>
  </si>
  <si>
    <t>210.5</t>
  </si>
  <si>
    <t>209.8</t>
  </si>
  <si>
    <t>208.8</t>
  </si>
  <si>
    <t>209.5</t>
  </si>
  <si>
    <t>213.2</t>
  </si>
  <si>
    <t>213.7</t>
  </si>
  <si>
    <t>215.1</t>
  </si>
  <si>
    <t>218.7</t>
  </si>
  <si>
    <t>219.8</t>
  </si>
  <si>
    <t>220.5</t>
  </si>
  <si>
    <t>223.8</t>
  </si>
  <si>
    <t>222.8</t>
  </si>
  <si>
    <t>221.7</t>
  </si>
  <si>
    <t>222.3</t>
  </si>
  <si>
    <t>220.8</t>
  </si>
  <si>
    <t>219.4</t>
  </si>
  <si>
    <t>220.1</t>
  </si>
  <si>
    <t>220.6</t>
  </si>
  <si>
    <t>218.9</t>
  </si>
  <si>
    <t>217.8</t>
  </si>
  <si>
    <t>217.7</t>
  </si>
  <si>
    <t>215.3</t>
  </si>
  <si>
    <t>215.9</t>
  </si>
  <si>
    <t>216.7</t>
  </si>
  <si>
    <t>222.9</t>
  </si>
  <si>
    <t>224.9</t>
  </si>
  <si>
    <t>222.2</t>
  </si>
  <si>
    <t>220.7</t>
  </si>
  <si>
    <t>215.8</t>
  </si>
  <si>
    <t>214.1</t>
  </si>
  <si>
    <t>212.3</t>
  </si>
  <si>
    <t>213.9</t>
  </si>
  <si>
    <t>214.6</t>
  </si>
  <si>
    <t>213.6</t>
  </si>
  <si>
    <t>212.1</t>
  </si>
  <si>
    <t>211.4</t>
  </si>
  <si>
    <t>213.1</t>
  </si>
  <si>
    <t>212.9</t>
  </si>
  <si>
    <t>213.3</t>
  </si>
  <si>
    <t>211.5</t>
  </si>
  <si>
    <t>210.7</t>
  </si>
  <si>
    <t>210.1</t>
  </si>
  <si>
    <t>209.7</t>
  </si>
  <si>
    <t>210.6</t>
  </si>
  <si>
    <t>211.9</t>
  </si>
  <si>
    <t>212.8</t>
  </si>
  <si>
    <t>212.5</t>
  </si>
  <si>
    <t>214.8</t>
  </si>
  <si>
    <t>217.5</t>
  </si>
  <si>
    <t>218.8</t>
  </si>
  <si>
    <t>226.7</t>
  </si>
  <si>
    <t>228.4</t>
  </si>
  <si>
    <t>233.2</t>
  </si>
  <si>
    <t>235.7</t>
  </si>
  <si>
    <t>237.1</t>
  </si>
  <si>
    <t>240.6</t>
  </si>
  <si>
    <t>243.8</t>
  </si>
  <si>
    <t>245.3</t>
  </si>
  <si>
    <t>246.3</t>
  </si>
  <si>
    <t>247.7</t>
  </si>
  <si>
    <t>247.6</t>
  </si>
  <si>
    <t>247.8</t>
  </si>
  <si>
    <t>249.4</t>
  </si>
  <si>
    <t>249.9</t>
  </si>
  <si>
    <t>250.5</t>
  </si>
  <si>
    <t>251.5</t>
  </si>
  <si>
    <t>248.8</t>
  </si>
  <si>
    <t>250.4</t>
  </si>
  <si>
    <t>250.7</t>
  </si>
  <si>
    <t>253.7</t>
  </si>
  <si>
    <t>256.2</t>
  </si>
  <si>
    <t>257.4</t>
  </si>
  <si>
    <t>260.4</t>
  </si>
  <si>
    <t>261.3</t>
  </si>
  <si>
    <t>261.6</t>
  </si>
  <si>
    <t>260.8</t>
  </si>
  <si>
    <t>259.8</t>
  </si>
  <si>
    <t>258.9</t>
  </si>
  <si>
    <t>257.7</t>
  </si>
  <si>
    <t>257.9</t>
  </si>
  <si>
    <t>257.3</t>
  </si>
  <si>
    <t>257.6</t>
  </si>
  <si>
    <t>257.8</t>
  </si>
  <si>
    <t>257.2</t>
  </si>
  <si>
    <t>257.5</t>
  </si>
  <si>
    <t>256.8</t>
  </si>
  <si>
    <t>259.6</t>
  </si>
  <si>
    <t>261.1</t>
  </si>
  <si>
    <t>262.9</t>
  </si>
  <si>
    <t>263.3</t>
  </si>
  <si>
    <t>262.8</t>
  </si>
  <si>
    <t>261.8</t>
  </si>
  <si>
    <t>262.2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</si>
</sst>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7"/>
      <color rgb="FF6B7280"/>
      <name val="Source Sans Pro"/>
      <family val="2"/>
    </font>
    <font>
      <sz val="17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/>
      <top style="medium">
        <color rgb="FFE5E7EB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6" fillId="3" borderId="2" xfId="0" applyFont="1" applyFill="1" applyBorder="1" applyAlignment="1">
      <alignment horizontal="left" vertical="center" indent="2"/>
    </xf>
    <xf numFmtId="0" fontId="6" fillId="3" borderId="3" xfId="0" applyFont="1" applyFill="1" applyBorder="1" applyAlignment="1">
      <alignment horizontal="left" vertical="center" indent="2"/>
    </xf>
    <xf numFmtId="0" fontId="7" fillId="4" borderId="4" xfId="0" applyFont="1" applyFill="1" applyBorder="1" applyAlignment="1">
      <alignment horizontal="left" vertical="center" wrapText="1" indent="2"/>
    </xf>
    <xf numFmtId="0" fontId="7" fillId="4" borderId="5" xfId="0" applyFont="1" applyFill="1" applyBorder="1" applyAlignment="1">
      <alignment horizontal="left" vertical="center" wrapText="1" indent="2"/>
    </xf>
    <xf numFmtId="0" fontId="7" fillId="4" borderId="6" xfId="0" applyFont="1" applyFill="1" applyBorder="1" applyAlignment="1">
      <alignment horizontal="left" vertical="center" wrapText="1" indent="2"/>
    </xf>
    <xf numFmtId="0" fontId="7" fillId="4" borderId="7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"/>
  <sheetViews>
    <sheetView tabSelected="1" workbookViewId="0">
      <selection activeCell="C3" sqref="C3"/>
    </sheetView>
  </sheetViews>
  <sheetFormatPr defaultColWidth="12.5703125" defaultRowHeight="15.75" customHeight="1" x14ac:dyDescent="0.2"/>
  <cols>
    <col min="1" max="1" width="6.140625" style="9" customWidth="1"/>
    <col min="2" max="2" width="6.42578125" style="9" customWidth="1"/>
    <col min="3" max="3" width="10.85546875" style="9" customWidth="1"/>
    <col min="6" max="6" width="17.42578125" customWidth="1"/>
    <col min="7" max="7" width="16.5703125" customWidth="1"/>
    <col min="8" max="8" width="13.85546875" customWidth="1"/>
  </cols>
  <sheetData>
    <row r="1" spans="1:8" ht="20.25" customHeight="1" x14ac:dyDescent="0.25">
      <c r="A1" s="11" t="s">
        <v>13</v>
      </c>
    </row>
    <row r="2" spans="1:8" ht="12.75" x14ac:dyDescent="0.2">
      <c r="A2" s="3" t="s">
        <v>0</v>
      </c>
      <c r="B2" s="3" t="s">
        <v>6</v>
      </c>
      <c r="C2" s="3" t="s">
        <v>8</v>
      </c>
      <c r="D2" s="3" t="s">
        <v>5</v>
      </c>
      <c r="E2" s="3" t="s">
        <v>4</v>
      </c>
      <c r="F2" s="3" t="s">
        <v>7</v>
      </c>
      <c r="G2" s="3" t="s">
        <v>1</v>
      </c>
      <c r="H2" s="3" t="s">
        <v>12</v>
      </c>
    </row>
    <row r="3" spans="1:8" ht="12.75" x14ac:dyDescent="0.2">
      <c r="A3" s="8">
        <v>1</v>
      </c>
      <c r="B3" s="8">
        <v>40</v>
      </c>
      <c r="C3" s="8">
        <f>COUNTIF($B$3:$B$42,B3)</f>
        <v>1</v>
      </c>
      <c r="D3" s="4">
        <f>C3/$B$52</f>
        <v>2.5000000000000001E-2</v>
      </c>
      <c r="E3" s="4">
        <f>D3</f>
        <v>2.5000000000000001E-2</v>
      </c>
      <c r="F3" s="5">
        <f>(B3-$B$46)/$B$49</f>
        <v>-2.3854310009608617</v>
      </c>
      <c r="G3" s="6">
        <f>0.5-(0.5-NORMSDIST(F3))</f>
        <v>8.5295610742969763E-3</v>
      </c>
      <c r="H3" s="6">
        <f>ABS(G3-E3)</f>
        <v>1.6470438925703025E-2</v>
      </c>
    </row>
    <row r="4" spans="1:8" ht="12.75" x14ac:dyDescent="0.2">
      <c r="A4" s="8">
        <v>2</v>
      </c>
      <c r="B4" s="8">
        <v>65</v>
      </c>
      <c r="C4" s="8">
        <f>COUNTIF($B$3:$B$42,B4)</f>
        <v>2</v>
      </c>
      <c r="D4" s="4">
        <f>C4/$B$52</f>
        <v>0.05</v>
      </c>
      <c r="E4" s="7">
        <f>E3+D4</f>
        <v>7.5000000000000011E-2</v>
      </c>
      <c r="F4" s="5">
        <f t="shared" ref="F4:F42" si="0">(B4-$B$46)/$B$49</f>
        <v>-0.6839823554823582</v>
      </c>
      <c r="G4" s="6">
        <f t="shared" ref="G4:G42" si="1">0.5-(0.5-NORMSDIST(F4))</f>
        <v>0.24699315384235604</v>
      </c>
      <c r="H4" s="6">
        <f t="shared" ref="H4:H42" si="2">ABS(G4-E4)</f>
        <v>0.17199315384235603</v>
      </c>
    </row>
    <row r="5" spans="1:8" ht="12.75" x14ac:dyDescent="0.2">
      <c r="A5" s="8">
        <v>3</v>
      </c>
      <c r="B5" s="8">
        <v>66</v>
      </c>
      <c r="C5" s="8">
        <f t="shared" ref="C5:C42" si="3">COUNTIF($B$3:$B$42,B5)</f>
        <v>1</v>
      </c>
      <c r="D5" s="4">
        <f t="shared" ref="D5:D42" si="4">C5/$B$52</f>
        <v>2.5000000000000001E-2</v>
      </c>
      <c r="E5" s="7">
        <f>E4+D5</f>
        <v>0.1</v>
      </c>
      <c r="F5" s="5">
        <f t="shared" si="0"/>
        <v>-0.61592440966321804</v>
      </c>
      <c r="G5" s="6">
        <f t="shared" si="1"/>
        <v>0.26897220519164661</v>
      </c>
      <c r="H5" s="6">
        <f t="shared" si="2"/>
        <v>0.1689722051916466</v>
      </c>
    </row>
    <row r="6" spans="1:8" ht="12.75" x14ac:dyDescent="0.2">
      <c r="A6" s="8">
        <v>4</v>
      </c>
      <c r="B6" s="8">
        <v>65</v>
      </c>
      <c r="C6" s="8">
        <f t="shared" si="3"/>
        <v>2</v>
      </c>
      <c r="D6" s="4">
        <f t="shared" si="4"/>
        <v>0.05</v>
      </c>
      <c r="E6" s="7">
        <f t="shared" ref="E6:E42" si="5">E5+D6</f>
        <v>0.15000000000000002</v>
      </c>
      <c r="F6" s="5">
        <f t="shared" si="0"/>
        <v>-0.6839823554823582</v>
      </c>
      <c r="G6" s="6">
        <f t="shared" si="1"/>
        <v>0.24699315384235604</v>
      </c>
      <c r="H6" s="6">
        <f t="shared" si="2"/>
        <v>9.6993153842356017E-2</v>
      </c>
    </row>
    <row r="7" spans="1:8" ht="12.75" x14ac:dyDescent="0.2">
      <c r="A7" s="8">
        <v>5</v>
      </c>
      <c r="B7" s="8">
        <v>88</v>
      </c>
      <c r="C7" s="8">
        <f t="shared" si="3"/>
        <v>3</v>
      </c>
      <c r="D7" s="4">
        <f t="shared" si="4"/>
        <v>7.4999999999999997E-2</v>
      </c>
      <c r="E7" s="7">
        <f t="shared" si="5"/>
        <v>0.22500000000000003</v>
      </c>
      <c r="F7" s="5">
        <f t="shared" si="0"/>
        <v>0.88135039835786488</v>
      </c>
      <c r="G7" s="6">
        <f t="shared" si="1"/>
        <v>0.81093590212697875</v>
      </c>
      <c r="H7" s="6">
        <f t="shared" si="2"/>
        <v>0.58593590212697877</v>
      </c>
    </row>
    <row r="8" spans="1:8" ht="12.75" x14ac:dyDescent="0.2">
      <c r="A8" s="8">
        <v>6</v>
      </c>
      <c r="B8" s="8">
        <v>84</v>
      </c>
      <c r="C8" s="8">
        <f t="shared" si="3"/>
        <v>1</v>
      </c>
      <c r="D8" s="4">
        <f t="shared" si="4"/>
        <v>2.5000000000000001E-2</v>
      </c>
      <c r="E8" s="7">
        <f t="shared" si="5"/>
        <v>0.25000000000000006</v>
      </c>
      <c r="F8" s="5">
        <f t="shared" si="0"/>
        <v>0.60911861508130438</v>
      </c>
      <c r="G8" s="6">
        <f t="shared" si="1"/>
        <v>0.72877709014008463</v>
      </c>
      <c r="H8" s="6">
        <f t="shared" si="2"/>
        <v>0.47877709014008457</v>
      </c>
    </row>
    <row r="9" spans="1:8" ht="12.75" x14ac:dyDescent="0.2">
      <c r="A9" s="8">
        <v>7</v>
      </c>
      <c r="B9" s="8">
        <v>75</v>
      </c>
      <c r="C9" s="8">
        <f t="shared" si="3"/>
        <v>2</v>
      </c>
      <c r="D9" s="4">
        <f t="shared" si="4"/>
        <v>0.05</v>
      </c>
      <c r="E9" s="7">
        <f t="shared" si="5"/>
        <v>0.30000000000000004</v>
      </c>
      <c r="F9" s="5">
        <f t="shared" si="0"/>
        <v>-3.4028972909568131E-3</v>
      </c>
      <c r="G9" s="6">
        <f t="shared" si="1"/>
        <v>0.49864244301479371</v>
      </c>
      <c r="H9" s="6">
        <f t="shared" si="2"/>
        <v>0.19864244301479367</v>
      </c>
    </row>
    <row r="10" spans="1:8" ht="12.75" x14ac:dyDescent="0.2">
      <c r="A10" s="8">
        <v>8</v>
      </c>
      <c r="B10" s="8">
        <v>75</v>
      </c>
      <c r="C10" s="8">
        <f t="shared" si="3"/>
        <v>2</v>
      </c>
      <c r="D10" s="4">
        <f t="shared" si="4"/>
        <v>0.05</v>
      </c>
      <c r="E10" s="7">
        <f t="shared" si="5"/>
        <v>0.35000000000000003</v>
      </c>
      <c r="F10" s="5">
        <f t="shared" si="0"/>
        <v>-3.4028972909568131E-3</v>
      </c>
      <c r="G10" s="6">
        <f t="shared" si="1"/>
        <v>0.49864244301479371</v>
      </c>
      <c r="H10" s="6">
        <f t="shared" si="2"/>
        <v>0.14864244301479368</v>
      </c>
    </row>
    <row r="11" spans="1:8" ht="12.75" x14ac:dyDescent="0.2">
      <c r="A11" s="8">
        <v>9</v>
      </c>
      <c r="B11" s="8">
        <v>50</v>
      </c>
      <c r="C11" s="8">
        <f t="shared" si="3"/>
        <v>2</v>
      </c>
      <c r="D11" s="4">
        <f t="shared" si="4"/>
        <v>0.05</v>
      </c>
      <c r="E11" s="7">
        <f t="shared" si="5"/>
        <v>0.4</v>
      </c>
      <c r="F11" s="5">
        <f t="shared" si="0"/>
        <v>-1.7048515427694602</v>
      </c>
      <c r="G11" s="6">
        <f t="shared" si="1"/>
        <v>4.4111057879322846E-2</v>
      </c>
      <c r="H11" s="6">
        <f t="shared" si="2"/>
        <v>0.35588894212067718</v>
      </c>
    </row>
    <row r="12" spans="1:8" ht="12.75" x14ac:dyDescent="0.2">
      <c r="A12" s="8">
        <v>10</v>
      </c>
      <c r="B12" s="8">
        <v>72</v>
      </c>
      <c r="C12" s="8">
        <f t="shared" si="3"/>
        <v>4</v>
      </c>
      <c r="D12" s="4">
        <f t="shared" si="4"/>
        <v>0.1</v>
      </c>
      <c r="E12" s="7">
        <f t="shared" si="5"/>
        <v>0.5</v>
      </c>
      <c r="F12" s="5">
        <f t="shared" si="0"/>
        <v>-0.20757673474837721</v>
      </c>
      <c r="G12" s="6">
        <f t="shared" si="1"/>
        <v>0.41777973583047046</v>
      </c>
      <c r="H12" s="6">
        <f t="shared" si="2"/>
        <v>8.2220264169529544E-2</v>
      </c>
    </row>
    <row r="13" spans="1:8" ht="12.75" x14ac:dyDescent="0.2">
      <c r="A13" s="8">
        <v>11</v>
      </c>
      <c r="B13" s="8">
        <v>96</v>
      </c>
      <c r="C13" s="8">
        <f t="shared" si="3"/>
        <v>2</v>
      </c>
      <c r="D13" s="4">
        <f t="shared" si="4"/>
        <v>0.05</v>
      </c>
      <c r="E13" s="7">
        <f t="shared" si="5"/>
        <v>0.55000000000000004</v>
      </c>
      <c r="F13" s="5">
        <f t="shared" si="0"/>
        <v>1.425813964910986</v>
      </c>
      <c r="G13" s="6">
        <f t="shared" si="1"/>
        <v>0.92303897559932313</v>
      </c>
      <c r="H13" s="6">
        <f t="shared" si="2"/>
        <v>0.37303897559932309</v>
      </c>
    </row>
    <row r="14" spans="1:8" ht="12.75" x14ac:dyDescent="0.2">
      <c r="A14" s="8">
        <v>12</v>
      </c>
      <c r="B14" s="8">
        <v>96</v>
      </c>
      <c r="C14" s="8">
        <f t="shared" si="3"/>
        <v>2</v>
      </c>
      <c r="D14" s="4">
        <f t="shared" si="4"/>
        <v>0.05</v>
      </c>
      <c r="E14" s="7">
        <f t="shared" si="5"/>
        <v>0.60000000000000009</v>
      </c>
      <c r="F14" s="5">
        <f t="shared" si="0"/>
        <v>1.425813964910986</v>
      </c>
      <c r="G14" s="6">
        <f t="shared" si="1"/>
        <v>0.92303897559932313</v>
      </c>
      <c r="H14" s="6">
        <f t="shared" si="2"/>
        <v>0.32303897559932304</v>
      </c>
    </row>
    <row r="15" spans="1:8" ht="12.75" x14ac:dyDescent="0.2">
      <c r="A15" s="8">
        <v>13</v>
      </c>
      <c r="B15" s="8">
        <v>88</v>
      </c>
      <c r="C15" s="8">
        <f t="shared" si="3"/>
        <v>3</v>
      </c>
      <c r="D15" s="4">
        <f t="shared" si="4"/>
        <v>7.4999999999999997E-2</v>
      </c>
      <c r="E15" s="7">
        <f t="shared" si="5"/>
        <v>0.67500000000000004</v>
      </c>
      <c r="F15" s="5">
        <f t="shared" si="0"/>
        <v>0.88135039835786488</v>
      </c>
      <c r="G15" s="6">
        <f t="shared" si="1"/>
        <v>0.81093590212697875</v>
      </c>
      <c r="H15" s="6">
        <f t="shared" si="2"/>
        <v>0.1359359021269787</v>
      </c>
    </row>
    <row r="16" spans="1:8" ht="12.75" x14ac:dyDescent="0.2">
      <c r="A16" s="8">
        <v>14</v>
      </c>
      <c r="B16" s="8">
        <v>94</v>
      </c>
      <c r="C16" s="8">
        <f t="shared" si="3"/>
        <v>1</v>
      </c>
      <c r="D16" s="4">
        <f t="shared" si="4"/>
        <v>2.5000000000000001E-2</v>
      </c>
      <c r="E16" s="7">
        <f t="shared" si="5"/>
        <v>0.70000000000000007</v>
      </c>
      <c r="F16" s="5">
        <f t="shared" si="0"/>
        <v>1.2896980732727057</v>
      </c>
      <c r="G16" s="6">
        <f t="shared" si="1"/>
        <v>0.90142224558395978</v>
      </c>
      <c r="H16" s="6">
        <f t="shared" si="2"/>
        <v>0.20142224558395971</v>
      </c>
    </row>
    <row r="17" spans="1:8" ht="12.75" x14ac:dyDescent="0.2">
      <c r="A17" s="8">
        <v>15</v>
      </c>
      <c r="B17" s="8">
        <v>93</v>
      </c>
      <c r="C17" s="8">
        <f t="shared" si="3"/>
        <v>1</v>
      </c>
      <c r="D17" s="4">
        <f t="shared" si="4"/>
        <v>2.5000000000000001E-2</v>
      </c>
      <c r="E17" s="7">
        <f t="shared" si="5"/>
        <v>0.72500000000000009</v>
      </c>
      <c r="F17" s="5">
        <f t="shared" si="0"/>
        <v>1.2216401274535655</v>
      </c>
      <c r="G17" s="6">
        <f t="shared" si="1"/>
        <v>0.88907812653410712</v>
      </c>
      <c r="H17" s="6">
        <f t="shared" si="2"/>
        <v>0.16407812653410703</v>
      </c>
    </row>
    <row r="18" spans="1:8" ht="12.75" x14ac:dyDescent="0.2">
      <c r="A18" s="8">
        <v>16</v>
      </c>
      <c r="B18" s="8">
        <v>73</v>
      </c>
      <c r="C18" s="8">
        <f t="shared" si="3"/>
        <v>2</v>
      </c>
      <c r="D18" s="4">
        <f t="shared" si="4"/>
        <v>0.05</v>
      </c>
      <c r="E18" s="7">
        <f t="shared" si="5"/>
        <v>0.77500000000000013</v>
      </c>
      <c r="F18" s="5">
        <f t="shared" si="0"/>
        <v>-0.13951878892923708</v>
      </c>
      <c r="G18" s="6">
        <f t="shared" si="1"/>
        <v>0.44452010486169985</v>
      </c>
      <c r="H18" s="6">
        <f t="shared" si="2"/>
        <v>0.33047989513830028</v>
      </c>
    </row>
    <row r="19" spans="1:8" ht="12.75" x14ac:dyDescent="0.2">
      <c r="A19" s="8">
        <v>17</v>
      </c>
      <c r="B19" s="8">
        <v>72</v>
      </c>
      <c r="C19" s="8">
        <f t="shared" si="3"/>
        <v>4</v>
      </c>
      <c r="D19" s="4">
        <f t="shared" si="4"/>
        <v>0.1</v>
      </c>
      <c r="E19" s="7">
        <f t="shared" si="5"/>
        <v>0.87500000000000011</v>
      </c>
      <c r="F19" s="5">
        <f t="shared" si="0"/>
        <v>-0.20757673474837721</v>
      </c>
      <c r="G19" s="6">
        <f t="shared" si="1"/>
        <v>0.41777973583047046</v>
      </c>
      <c r="H19" s="6">
        <f t="shared" si="2"/>
        <v>0.45722026416952966</v>
      </c>
    </row>
    <row r="20" spans="1:8" ht="12.75" x14ac:dyDescent="0.2">
      <c r="A20" s="8">
        <v>18</v>
      </c>
      <c r="B20" s="8">
        <v>74</v>
      </c>
      <c r="C20" s="8">
        <f t="shared" si="3"/>
        <v>1</v>
      </c>
      <c r="D20" s="4">
        <f t="shared" si="4"/>
        <v>2.5000000000000001E-2</v>
      </c>
      <c r="E20" s="7">
        <f t="shared" si="5"/>
        <v>0.90000000000000013</v>
      </c>
      <c r="F20" s="5">
        <f t="shared" si="0"/>
        <v>-7.1460843110096942E-2</v>
      </c>
      <c r="G20" s="6">
        <f t="shared" si="1"/>
        <v>0.4715154937614579</v>
      </c>
      <c r="H20" s="6">
        <f t="shared" si="2"/>
        <v>0.42848450623854223</v>
      </c>
    </row>
    <row r="21" spans="1:8" ht="12.75" x14ac:dyDescent="0.2">
      <c r="A21" s="8">
        <v>19</v>
      </c>
      <c r="B21" s="8">
        <v>78</v>
      </c>
      <c r="C21" s="8">
        <f t="shared" si="3"/>
        <v>1</v>
      </c>
      <c r="D21" s="4">
        <f t="shared" si="4"/>
        <v>2.5000000000000001E-2</v>
      </c>
      <c r="E21" s="7">
        <f t="shared" si="5"/>
        <v>0.92500000000000016</v>
      </c>
      <c r="F21" s="5">
        <f t="shared" si="0"/>
        <v>0.2007709401664636</v>
      </c>
      <c r="G21" s="6">
        <f t="shared" si="1"/>
        <v>0.57956115668845243</v>
      </c>
      <c r="H21" s="6">
        <f t="shared" si="2"/>
        <v>0.34543884331154773</v>
      </c>
    </row>
    <row r="22" spans="1:8" ht="12.75" x14ac:dyDescent="0.2">
      <c r="A22" s="8">
        <v>20</v>
      </c>
      <c r="B22" s="8">
        <v>71</v>
      </c>
      <c r="C22" s="8">
        <f t="shared" si="3"/>
        <v>1</v>
      </c>
      <c r="D22" s="4">
        <f t="shared" si="4"/>
        <v>2.5000000000000001E-2</v>
      </c>
      <c r="E22" s="7">
        <f t="shared" si="5"/>
        <v>0.95000000000000018</v>
      </c>
      <c r="F22" s="5">
        <f t="shared" si="0"/>
        <v>-0.27563468056751733</v>
      </c>
      <c r="G22" s="6">
        <f t="shared" si="1"/>
        <v>0.39141433494052147</v>
      </c>
      <c r="H22" s="6">
        <f t="shared" si="2"/>
        <v>0.55858566505947871</v>
      </c>
    </row>
    <row r="23" spans="1:8" ht="12.75" x14ac:dyDescent="0.2">
      <c r="A23" s="8">
        <v>21</v>
      </c>
      <c r="B23" s="8">
        <v>99</v>
      </c>
      <c r="C23" s="8">
        <f t="shared" si="3"/>
        <v>2</v>
      </c>
      <c r="D23" s="4">
        <f t="shared" si="4"/>
        <v>0.05</v>
      </c>
      <c r="E23" s="7">
        <f t="shared" si="5"/>
        <v>1.0000000000000002</v>
      </c>
      <c r="F23" s="5">
        <f t="shared" si="0"/>
        <v>1.6299878023684065</v>
      </c>
      <c r="G23" s="6">
        <f t="shared" si="1"/>
        <v>0.9484479625144413</v>
      </c>
      <c r="H23" s="6">
        <f t="shared" si="2"/>
        <v>5.1552037485558921E-2</v>
      </c>
    </row>
    <row r="24" spans="1:8" ht="12.75" x14ac:dyDescent="0.2">
      <c r="A24" s="8">
        <v>22</v>
      </c>
      <c r="B24" s="8">
        <v>79</v>
      </c>
      <c r="C24" s="8">
        <f t="shared" si="3"/>
        <v>1</v>
      </c>
      <c r="D24" s="4">
        <f t="shared" si="4"/>
        <v>2.5000000000000001E-2</v>
      </c>
      <c r="E24" s="7">
        <f t="shared" si="5"/>
        <v>1.0250000000000001</v>
      </c>
      <c r="F24" s="5">
        <f t="shared" si="0"/>
        <v>0.26882888598560373</v>
      </c>
      <c r="G24" s="6">
        <f t="shared" si="1"/>
        <v>0.60596931823839773</v>
      </c>
      <c r="H24" s="6">
        <f t="shared" si="2"/>
        <v>0.41903068176160241</v>
      </c>
    </row>
    <row r="25" spans="1:8" ht="12.75" x14ac:dyDescent="0.2">
      <c r="A25" s="8">
        <v>23</v>
      </c>
      <c r="B25" s="8">
        <v>80</v>
      </c>
      <c r="C25" s="8">
        <f t="shared" si="3"/>
        <v>2</v>
      </c>
      <c r="D25" s="4">
        <f t="shared" si="4"/>
        <v>0.05</v>
      </c>
      <c r="E25" s="7">
        <f t="shared" si="5"/>
        <v>1.0750000000000002</v>
      </c>
      <c r="F25" s="5">
        <f t="shared" si="0"/>
        <v>0.33688683180474388</v>
      </c>
      <c r="G25" s="6">
        <f t="shared" si="1"/>
        <v>0.63189889380960274</v>
      </c>
      <c r="H25" s="6">
        <f t="shared" si="2"/>
        <v>0.44310110619039744</v>
      </c>
    </row>
    <row r="26" spans="1:8" ht="12.75" x14ac:dyDescent="0.2">
      <c r="A26" s="8">
        <v>24</v>
      </c>
      <c r="B26" s="8">
        <v>97</v>
      </c>
      <c r="C26" s="8">
        <f t="shared" si="3"/>
        <v>1</v>
      </c>
      <c r="D26" s="4">
        <f t="shared" si="4"/>
        <v>2.5000000000000001E-2</v>
      </c>
      <c r="E26" s="7">
        <f t="shared" si="5"/>
        <v>1.1000000000000001</v>
      </c>
      <c r="F26" s="5">
        <f t="shared" si="0"/>
        <v>1.4938719107301262</v>
      </c>
      <c r="G26" s="6">
        <f t="shared" si="1"/>
        <v>0.93239544926476237</v>
      </c>
      <c r="H26" s="6">
        <f t="shared" si="2"/>
        <v>0.16760455073523772</v>
      </c>
    </row>
    <row r="27" spans="1:8" ht="12.75" x14ac:dyDescent="0.2">
      <c r="A27" s="8">
        <v>25</v>
      </c>
      <c r="B27" s="8">
        <v>80</v>
      </c>
      <c r="C27" s="8">
        <f t="shared" si="3"/>
        <v>2</v>
      </c>
      <c r="D27" s="4">
        <f t="shared" si="4"/>
        <v>0.05</v>
      </c>
      <c r="E27" s="7">
        <f t="shared" si="5"/>
        <v>1.1500000000000001</v>
      </c>
      <c r="F27" s="5">
        <f t="shared" si="0"/>
        <v>0.33688683180474388</v>
      </c>
      <c r="G27" s="6">
        <f t="shared" si="1"/>
        <v>0.63189889380960274</v>
      </c>
      <c r="H27" s="6">
        <f t="shared" si="2"/>
        <v>0.5181011061903974</v>
      </c>
    </row>
    <row r="28" spans="1:8" ht="12.75" x14ac:dyDescent="0.2">
      <c r="A28" s="8">
        <v>26</v>
      </c>
      <c r="B28" s="8">
        <v>73</v>
      </c>
      <c r="C28" s="8">
        <f t="shared" si="3"/>
        <v>2</v>
      </c>
      <c r="D28" s="4">
        <f t="shared" si="4"/>
        <v>0.05</v>
      </c>
      <c r="E28" s="7">
        <f t="shared" si="5"/>
        <v>1.2000000000000002</v>
      </c>
      <c r="F28" s="5">
        <f t="shared" si="0"/>
        <v>-0.13951878892923708</v>
      </c>
      <c r="G28" s="6">
        <f t="shared" si="1"/>
        <v>0.44452010486169985</v>
      </c>
      <c r="H28" s="6">
        <f t="shared" si="2"/>
        <v>0.75547989513830038</v>
      </c>
    </row>
    <row r="29" spans="1:8" ht="12.75" x14ac:dyDescent="0.2">
      <c r="A29" s="8">
        <v>27</v>
      </c>
      <c r="B29" s="8">
        <v>53</v>
      </c>
      <c r="C29" s="8">
        <f t="shared" si="3"/>
        <v>2</v>
      </c>
      <c r="D29" s="4">
        <f t="shared" si="4"/>
        <v>0.05</v>
      </c>
      <c r="E29" s="7">
        <f t="shared" si="5"/>
        <v>1.2500000000000002</v>
      </c>
      <c r="F29" s="5">
        <f t="shared" si="0"/>
        <v>-1.5006777053120397</v>
      </c>
      <c r="G29" s="6">
        <f t="shared" si="1"/>
        <v>6.6719471111939876E-2</v>
      </c>
      <c r="H29" s="6">
        <f>ABS(G29-E29)</f>
        <v>1.1832805288880603</v>
      </c>
    </row>
    <row r="30" spans="1:8" ht="12.75" x14ac:dyDescent="0.2">
      <c r="A30" s="8">
        <v>28</v>
      </c>
      <c r="B30" s="8">
        <v>88</v>
      </c>
      <c r="C30" s="8">
        <f t="shared" si="3"/>
        <v>3</v>
      </c>
      <c r="D30" s="4">
        <f t="shared" si="4"/>
        <v>7.4999999999999997E-2</v>
      </c>
      <c r="E30" s="7">
        <f t="shared" si="5"/>
        <v>1.3250000000000002</v>
      </c>
      <c r="F30" s="5">
        <f t="shared" si="0"/>
        <v>0.88135039835786488</v>
      </c>
      <c r="G30" s="6">
        <f t="shared" si="1"/>
        <v>0.81093590212697875</v>
      </c>
      <c r="H30" s="6">
        <f t="shared" si="2"/>
        <v>0.51406409787302143</v>
      </c>
    </row>
    <row r="31" spans="1:8" ht="12.75" x14ac:dyDescent="0.2">
      <c r="A31" s="8">
        <v>29</v>
      </c>
      <c r="B31" s="8">
        <v>72</v>
      </c>
      <c r="C31" s="8">
        <f t="shared" si="3"/>
        <v>4</v>
      </c>
      <c r="D31" s="4">
        <f t="shared" si="4"/>
        <v>0.1</v>
      </c>
      <c r="E31" s="7">
        <f t="shared" si="5"/>
        <v>1.4250000000000003</v>
      </c>
      <c r="F31" s="5">
        <f t="shared" si="0"/>
        <v>-0.20757673474837721</v>
      </c>
      <c r="G31" s="6">
        <f t="shared" si="1"/>
        <v>0.41777973583047046</v>
      </c>
      <c r="H31" s="6">
        <f t="shared" si="2"/>
        <v>1.0072202641695298</v>
      </c>
    </row>
    <row r="32" spans="1:8" ht="12.75" x14ac:dyDescent="0.2">
      <c r="A32" s="8">
        <v>30</v>
      </c>
      <c r="B32" s="8">
        <v>72</v>
      </c>
      <c r="C32" s="8">
        <f t="shared" si="3"/>
        <v>4</v>
      </c>
      <c r="D32" s="4">
        <f t="shared" si="4"/>
        <v>0.1</v>
      </c>
      <c r="E32" s="7">
        <f t="shared" si="5"/>
        <v>1.5250000000000004</v>
      </c>
      <c r="F32" s="5">
        <f t="shared" si="0"/>
        <v>-0.20757673474837721</v>
      </c>
      <c r="G32" s="6">
        <f t="shared" si="1"/>
        <v>0.41777973583047046</v>
      </c>
      <c r="H32" s="6">
        <f t="shared" si="2"/>
        <v>1.1072202641695299</v>
      </c>
    </row>
    <row r="33" spans="1:8" ht="12.75" x14ac:dyDescent="0.2">
      <c r="A33" s="8">
        <v>31</v>
      </c>
      <c r="B33" s="8">
        <v>53</v>
      </c>
      <c r="C33" s="8">
        <f t="shared" si="3"/>
        <v>2</v>
      </c>
      <c r="D33" s="4">
        <f t="shared" si="4"/>
        <v>0.05</v>
      </c>
      <c r="E33" s="7">
        <f t="shared" si="5"/>
        <v>1.5750000000000004</v>
      </c>
      <c r="F33" s="5">
        <f t="shared" si="0"/>
        <v>-1.5006777053120397</v>
      </c>
      <c r="G33" s="6">
        <f t="shared" si="1"/>
        <v>6.6719471111939876E-2</v>
      </c>
      <c r="H33" s="6">
        <f t="shared" si="2"/>
        <v>1.5082805288880605</v>
      </c>
    </row>
    <row r="34" spans="1:8" ht="12.75" x14ac:dyDescent="0.2">
      <c r="A34" s="8">
        <v>32</v>
      </c>
      <c r="B34" s="8">
        <v>62</v>
      </c>
      <c r="C34" s="8">
        <f t="shared" si="3"/>
        <v>1</v>
      </c>
      <c r="D34" s="4">
        <f t="shared" si="4"/>
        <v>2.5000000000000001E-2</v>
      </c>
      <c r="E34" s="7">
        <f t="shared" si="5"/>
        <v>1.6000000000000003</v>
      </c>
      <c r="F34" s="5">
        <f t="shared" si="0"/>
        <v>-0.88815619293977854</v>
      </c>
      <c r="G34" s="6">
        <f t="shared" si="1"/>
        <v>0.18722836966899381</v>
      </c>
      <c r="H34" s="6">
        <f t="shared" si="2"/>
        <v>1.4127716303310065</v>
      </c>
    </row>
    <row r="35" spans="1:8" ht="12.75" x14ac:dyDescent="0.2">
      <c r="A35" s="8">
        <v>33</v>
      </c>
      <c r="B35" s="8">
        <v>76</v>
      </c>
      <c r="C35" s="8">
        <f t="shared" si="3"/>
        <v>1</v>
      </c>
      <c r="D35" s="4">
        <f t="shared" si="4"/>
        <v>2.5000000000000001E-2</v>
      </c>
      <c r="E35" s="7">
        <f t="shared" si="5"/>
        <v>1.6250000000000002</v>
      </c>
      <c r="F35" s="5">
        <f t="shared" si="0"/>
        <v>6.4655048528183323E-2</v>
      </c>
      <c r="G35" s="6">
        <f t="shared" si="1"/>
        <v>0.52577567301462091</v>
      </c>
      <c r="H35" s="6">
        <f t="shared" si="2"/>
        <v>1.0992243269853792</v>
      </c>
    </row>
    <row r="36" spans="1:8" ht="12.75" x14ac:dyDescent="0.2">
      <c r="A36" s="8">
        <v>34</v>
      </c>
      <c r="B36" s="8">
        <v>86</v>
      </c>
      <c r="C36" s="8">
        <f t="shared" si="3"/>
        <v>1</v>
      </c>
      <c r="D36" s="4">
        <f t="shared" si="4"/>
        <v>2.5000000000000001E-2</v>
      </c>
      <c r="E36" s="7">
        <f t="shared" si="5"/>
        <v>1.6500000000000001</v>
      </c>
      <c r="F36" s="5">
        <f t="shared" si="0"/>
        <v>0.74523450671958469</v>
      </c>
      <c r="G36" s="6">
        <f t="shared" si="1"/>
        <v>0.77193501704859968</v>
      </c>
      <c r="H36" s="6">
        <f t="shared" si="2"/>
        <v>0.87806498295140045</v>
      </c>
    </row>
    <row r="37" spans="1:8" ht="12.75" x14ac:dyDescent="0.2">
      <c r="A37" s="8">
        <v>35</v>
      </c>
      <c r="B37" s="8">
        <v>56</v>
      </c>
      <c r="C37" s="8">
        <f t="shared" si="3"/>
        <v>1</v>
      </c>
      <c r="D37" s="4">
        <f t="shared" si="4"/>
        <v>2.5000000000000001E-2</v>
      </c>
      <c r="E37" s="7">
        <f t="shared" si="5"/>
        <v>1.675</v>
      </c>
      <c r="F37" s="5">
        <f t="shared" si="0"/>
        <v>-1.2965038678546195</v>
      </c>
      <c r="G37" s="6">
        <f t="shared" si="1"/>
        <v>9.740097417752297E-2</v>
      </c>
      <c r="H37" s="6">
        <f t="shared" si="2"/>
        <v>1.577599025822477</v>
      </c>
    </row>
    <row r="38" spans="1:8" ht="12.75" x14ac:dyDescent="0.2">
      <c r="A38" s="8">
        <v>36</v>
      </c>
      <c r="B38" s="8">
        <v>99</v>
      </c>
      <c r="C38" s="8">
        <f t="shared" si="3"/>
        <v>2</v>
      </c>
      <c r="D38" s="4">
        <f t="shared" si="4"/>
        <v>0.05</v>
      </c>
      <c r="E38" s="7">
        <f t="shared" si="5"/>
        <v>1.7250000000000001</v>
      </c>
      <c r="F38" s="5">
        <f t="shared" si="0"/>
        <v>1.6299878023684065</v>
      </c>
      <c r="G38" s="6">
        <f t="shared" si="1"/>
        <v>0.9484479625144413</v>
      </c>
      <c r="H38" s="6">
        <f>ABS(G38-E38)</f>
        <v>0.77655203748555879</v>
      </c>
    </row>
    <row r="39" spans="1:8" ht="12.75" x14ac:dyDescent="0.2">
      <c r="A39" s="8">
        <v>37</v>
      </c>
      <c r="B39" s="8">
        <v>50</v>
      </c>
      <c r="C39" s="8">
        <f t="shared" si="3"/>
        <v>2</v>
      </c>
      <c r="D39" s="4">
        <f t="shared" si="4"/>
        <v>0.05</v>
      </c>
      <c r="E39" s="7">
        <f t="shared" si="5"/>
        <v>1.7750000000000001</v>
      </c>
      <c r="F39" s="5">
        <f t="shared" si="0"/>
        <v>-1.7048515427694602</v>
      </c>
      <c r="G39" s="6">
        <f t="shared" si="1"/>
        <v>4.4111057879322846E-2</v>
      </c>
      <c r="H39" s="6">
        <f t="shared" si="2"/>
        <v>1.7308889421206772</v>
      </c>
    </row>
    <row r="40" spans="1:8" ht="12.75" x14ac:dyDescent="0.2">
      <c r="A40" s="8">
        <v>38</v>
      </c>
      <c r="B40" s="8">
        <v>67</v>
      </c>
      <c r="C40" s="8">
        <f t="shared" si="3"/>
        <v>1</v>
      </c>
      <c r="D40" s="4">
        <f t="shared" si="4"/>
        <v>2.5000000000000001E-2</v>
      </c>
      <c r="E40" s="7">
        <f>E39+D40</f>
        <v>1.8</v>
      </c>
      <c r="F40" s="5">
        <f>(B40-$B$46)/$B$49</f>
        <v>-0.54786646384407789</v>
      </c>
      <c r="G40" s="6">
        <f>0.5-(0.5-NORMSDIST(F40))</f>
        <v>0.29189179880976379</v>
      </c>
      <c r="H40" s="6">
        <f t="shared" si="2"/>
        <v>1.5081082011902363</v>
      </c>
    </row>
    <row r="41" spans="1:8" ht="12.75" x14ac:dyDescent="0.2">
      <c r="A41" s="8">
        <v>39</v>
      </c>
      <c r="B41" s="8">
        <v>77</v>
      </c>
      <c r="C41" s="8">
        <f t="shared" si="3"/>
        <v>1</v>
      </c>
      <c r="D41" s="4">
        <f t="shared" si="4"/>
        <v>2.5000000000000001E-2</v>
      </c>
      <c r="E41" s="7">
        <f t="shared" si="5"/>
        <v>1.825</v>
      </c>
      <c r="F41" s="5">
        <f t="shared" si="0"/>
        <v>0.13271299434732345</v>
      </c>
      <c r="G41" s="6">
        <f t="shared" si="1"/>
        <v>0.55278981711446495</v>
      </c>
      <c r="H41" s="6">
        <f t="shared" si="2"/>
        <v>1.272210182885535</v>
      </c>
    </row>
    <row r="42" spans="1:8" ht="12.75" x14ac:dyDescent="0.2">
      <c r="A42" s="8">
        <v>40</v>
      </c>
      <c r="B42" s="8">
        <v>68</v>
      </c>
      <c r="C42" s="8">
        <f t="shared" si="3"/>
        <v>1</v>
      </c>
      <c r="D42" s="4">
        <f t="shared" si="4"/>
        <v>2.5000000000000001E-2</v>
      </c>
      <c r="E42" s="7">
        <f t="shared" si="5"/>
        <v>1.8499999999999999</v>
      </c>
      <c r="F42" s="5">
        <f t="shared" si="0"/>
        <v>-0.47980851802493774</v>
      </c>
      <c r="G42" s="6">
        <f t="shared" si="1"/>
        <v>0.3156817777152332</v>
      </c>
      <c r="H42" s="6">
        <f t="shared" si="2"/>
        <v>1.5343182222847667</v>
      </c>
    </row>
    <row r="45" spans="1:8" ht="15.75" customHeight="1" x14ac:dyDescent="0.2">
      <c r="B45" s="10" t="s">
        <v>9</v>
      </c>
      <c r="H45" s="2" t="s">
        <v>14</v>
      </c>
    </row>
    <row r="46" spans="1:8" ht="15.75" customHeight="1" x14ac:dyDescent="0.2">
      <c r="B46" s="13">
        <f>AVERAGE(B3:B42)</f>
        <v>75.05</v>
      </c>
      <c r="H46" s="12">
        <f>MAX(H3:H42)</f>
        <v>1.7308889421206772</v>
      </c>
    </row>
    <row r="48" spans="1:8" ht="15.75" customHeight="1" x14ac:dyDescent="0.2">
      <c r="B48" s="10" t="s">
        <v>10</v>
      </c>
    </row>
    <row r="49" spans="2:2" ht="15.75" customHeight="1" x14ac:dyDescent="0.2">
      <c r="B49" s="13">
        <f>STDEV(B3:B42)</f>
        <v>14.69336148724558</v>
      </c>
    </row>
    <row r="51" spans="2:2" ht="15.75" customHeight="1" x14ac:dyDescent="0.2">
      <c r="B51" s="10" t="s">
        <v>11</v>
      </c>
    </row>
    <row r="52" spans="2:2" ht="15.75" customHeight="1" x14ac:dyDescent="0.2">
      <c r="B52" s="13">
        <f>COUNT(B3:B42)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U2"/>
  <sheetViews>
    <sheetView workbookViewId="0">
      <selection activeCell="B16" sqref="B16"/>
    </sheetView>
  </sheetViews>
  <sheetFormatPr defaultColWidth="12.5703125" defaultRowHeight="15.75" customHeight="1" x14ac:dyDescent="0.2"/>
  <sheetData>
    <row r="1" spans="1:151" x14ac:dyDescent="0.2">
      <c r="A1" s="1" t="s">
        <v>2</v>
      </c>
      <c r="B1" s="1">
        <v>200</v>
      </c>
      <c r="C1" s="1">
        <v>199.5</v>
      </c>
      <c r="D1" s="1">
        <v>199</v>
      </c>
      <c r="E1" s="1">
        <v>198.5</v>
      </c>
      <c r="F1" s="1">
        <v>198</v>
      </c>
      <c r="G1" s="1">
        <v>202.5</v>
      </c>
      <c r="H1" s="1">
        <v>203</v>
      </c>
      <c r="I1" s="1">
        <v>203.5</v>
      </c>
      <c r="J1" s="1">
        <v>204</v>
      </c>
      <c r="K1" s="1">
        <v>204.5</v>
      </c>
      <c r="L1" s="1">
        <v>205</v>
      </c>
      <c r="M1" s="1">
        <v>205.5</v>
      </c>
      <c r="N1" s="1">
        <v>206</v>
      </c>
      <c r="O1" s="1">
        <v>206.5</v>
      </c>
      <c r="P1" s="1">
        <v>207</v>
      </c>
      <c r="Q1" s="1">
        <v>207.5</v>
      </c>
      <c r="R1" s="1">
        <v>208</v>
      </c>
      <c r="S1" s="1">
        <v>208.5</v>
      </c>
      <c r="T1" s="1">
        <v>209</v>
      </c>
      <c r="U1" s="1">
        <v>209.5</v>
      </c>
      <c r="V1" s="1">
        <v>210</v>
      </c>
      <c r="W1" s="1">
        <v>210.5</v>
      </c>
      <c r="X1" s="1">
        <v>211</v>
      </c>
      <c r="Y1" s="1">
        <v>211.5</v>
      </c>
      <c r="Z1" s="1">
        <v>212</v>
      </c>
      <c r="AA1" s="1">
        <v>212.5</v>
      </c>
      <c r="AB1" s="1">
        <v>212</v>
      </c>
      <c r="AC1" s="1">
        <v>211.5</v>
      </c>
      <c r="AD1" s="1">
        <v>211</v>
      </c>
      <c r="AE1" s="1">
        <v>210.5</v>
      </c>
      <c r="AF1" s="1">
        <v>215</v>
      </c>
      <c r="AG1" s="1">
        <v>215.5</v>
      </c>
      <c r="AH1" s="1">
        <v>216</v>
      </c>
      <c r="AI1" s="1">
        <v>216.5</v>
      </c>
      <c r="AJ1" s="1">
        <v>217</v>
      </c>
      <c r="AK1" s="1">
        <v>217.5</v>
      </c>
      <c r="AL1" s="1">
        <v>218</v>
      </c>
      <c r="AM1" s="1">
        <v>218.5</v>
      </c>
      <c r="AN1" s="1">
        <v>219</v>
      </c>
      <c r="AO1" s="1">
        <v>219.5</v>
      </c>
      <c r="AP1" s="1">
        <v>220</v>
      </c>
      <c r="AQ1" s="1">
        <v>220.5</v>
      </c>
      <c r="AR1" s="1">
        <v>221</v>
      </c>
      <c r="AS1" s="1">
        <v>221.5</v>
      </c>
      <c r="AT1" s="1">
        <v>222</v>
      </c>
      <c r="AU1" s="1">
        <v>222.5</v>
      </c>
      <c r="AV1" s="1">
        <v>223</v>
      </c>
      <c r="AW1" s="1">
        <v>223.5</v>
      </c>
      <c r="AX1" s="1">
        <v>224</v>
      </c>
      <c r="AY1" s="1">
        <v>224.5</v>
      </c>
      <c r="AZ1" s="1">
        <v>224</v>
      </c>
      <c r="BA1" s="1">
        <v>223.5</v>
      </c>
      <c r="BB1" s="1">
        <v>223</v>
      </c>
      <c r="BC1" s="1">
        <v>222.5</v>
      </c>
      <c r="BD1" s="1">
        <v>222</v>
      </c>
      <c r="BE1" s="1">
        <v>221.5</v>
      </c>
      <c r="BF1" s="1">
        <v>221</v>
      </c>
      <c r="BG1" s="1">
        <v>220.5</v>
      </c>
      <c r="BH1" s="1">
        <v>220</v>
      </c>
      <c r="BI1" s="1">
        <v>219.5</v>
      </c>
      <c r="BJ1" s="1">
        <v>219</v>
      </c>
      <c r="BK1" s="1">
        <v>218.5</v>
      </c>
      <c r="BL1" s="1">
        <v>218</v>
      </c>
      <c r="BM1" s="1">
        <v>217.5</v>
      </c>
      <c r="BN1" s="1">
        <v>217</v>
      </c>
      <c r="BO1" s="1">
        <v>216.5</v>
      </c>
      <c r="BP1" s="1">
        <v>216</v>
      </c>
      <c r="BQ1" s="1">
        <v>215.5</v>
      </c>
      <c r="BR1" s="1">
        <v>215</v>
      </c>
      <c r="BS1" s="1">
        <v>214.5</v>
      </c>
      <c r="BT1" s="1">
        <v>214</v>
      </c>
      <c r="BU1" s="1">
        <v>213.5</v>
      </c>
      <c r="BV1" s="1">
        <v>213</v>
      </c>
      <c r="BW1" s="1">
        <v>212.5</v>
      </c>
      <c r="BX1" s="1">
        <v>212</v>
      </c>
      <c r="BY1" s="1">
        <v>237.5</v>
      </c>
      <c r="BZ1" s="1">
        <v>238</v>
      </c>
      <c r="CA1" s="1">
        <v>238.5</v>
      </c>
      <c r="CB1" s="1">
        <v>239</v>
      </c>
      <c r="CC1" s="1">
        <v>239.5</v>
      </c>
      <c r="CD1" s="1">
        <v>240</v>
      </c>
      <c r="CE1" s="1">
        <v>240.5</v>
      </c>
      <c r="CF1" s="1">
        <v>241</v>
      </c>
      <c r="CG1" s="1">
        <v>241.5</v>
      </c>
      <c r="CH1" s="1">
        <v>242</v>
      </c>
      <c r="CI1" s="1">
        <v>242.5</v>
      </c>
      <c r="CJ1" s="1">
        <v>243</v>
      </c>
      <c r="CK1" s="1">
        <v>243.5</v>
      </c>
      <c r="CL1" s="1">
        <v>244</v>
      </c>
      <c r="CM1" s="1">
        <v>244.5</v>
      </c>
      <c r="CN1" s="1">
        <v>245</v>
      </c>
      <c r="CO1" s="1">
        <v>245.5</v>
      </c>
      <c r="CP1" s="1">
        <v>246</v>
      </c>
      <c r="CQ1" s="1">
        <v>246.5</v>
      </c>
      <c r="CR1" s="1">
        <v>247</v>
      </c>
      <c r="CS1" s="1">
        <v>247.5</v>
      </c>
      <c r="CT1" s="1">
        <v>248</v>
      </c>
      <c r="CU1" s="1">
        <v>248.5</v>
      </c>
      <c r="CV1" s="1">
        <v>249</v>
      </c>
      <c r="CW1" s="1">
        <v>249.5</v>
      </c>
      <c r="CX1" s="1">
        <v>250</v>
      </c>
      <c r="CY1" s="1">
        <v>250.5</v>
      </c>
      <c r="CZ1" s="1">
        <v>251</v>
      </c>
      <c r="DA1" s="1">
        <v>251.5</v>
      </c>
      <c r="DB1" s="1">
        <v>252</v>
      </c>
      <c r="DC1" s="1">
        <v>252.5</v>
      </c>
      <c r="DD1" s="1">
        <v>253</v>
      </c>
      <c r="DE1" s="1">
        <v>253.5</v>
      </c>
      <c r="DF1" s="1">
        <v>254</v>
      </c>
      <c r="DG1" s="1">
        <v>254.5</v>
      </c>
      <c r="DH1" s="1">
        <v>255</v>
      </c>
      <c r="DI1" s="1">
        <v>255.5</v>
      </c>
      <c r="DJ1" s="1">
        <v>256</v>
      </c>
      <c r="DK1" s="1">
        <v>256.5</v>
      </c>
      <c r="DL1" s="1">
        <v>257</v>
      </c>
      <c r="DM1" s="1">
        <v>257.5</v>
      </c>
      <c r="DN1" s="1">
        <v>258</v>
      </c>
      <c r="DO1" s="1">
        <v>258.5</v>
      </c>
      <c r="DP1" s="1">
        <v>259</v>
      </c>
      <c r="DQ1" s="1">
        <v>259.5</v>
      </c>
      <c r="DR1" s="1">
        <v>260</v>
      </c>
      <c r="DS1" s="1">
        <v>260.5</v>
      </c>
      <c r="DT1" s="1">
        <v>261</v>
      </c>
      <c r="DU1" s="1">
        <v>261.5</v>
      </c>
      <c r="DV1" s="1">
        <v>262</v>
      </c>
      <c r="DW1" s="1">
        <v>261.5</v>
      </c>
      <c r="DX1" s="1">
        <v>261</v>
      </c>
      <c r="DY1" s="1">
        <v>260.5</v>
      </c>
      <c r="DZ1" s="1">
        <v>260</v>
      </c>
      <c r="EA1" s="1">
        <v>259.5</v>
      </c>
      <c r="EB1" s="1">
        <v>259</v>
      </c>
      <c r="EC1" s="1">
        <v>258.5</v>
      </c>
      <c r="ED1" s="1">
        <v>258</v>
      </c>
      <c r="EE1" s="1">
        <v>257.5</v>
      </c>
      <c r="EF1" s="1">
        <v>257</v>
      </c>
      <c r="EG1" s="1">
        <v>267.5</v>
      </c>
      <c r="EH1" s="1">
        <v>268</v>
      </c>
      <c r="EI1" s="1">
        <v>268.5</v>
      </c>
      <c r="EJ1" s="1">
        <v>269</v>
      </c>
      <c r="EK1" s="1">
        <v>269.5</v>
      </c>
      <c r="EL1" s="1">
        <v>270</v>
      </c>
      <c r="EM1" s="1">
        <v>270.5</v>
      </c>
      <c r="EN1" s="1">
        <v>271</v>
      </c>
      <c r="EO1" s="1">
        <v>271.5</v>
      </c>
      <c r="EP1" s="1">
        <v>272</v>
      </c>
      <c r="EQ1" s="1">
        <v>272.5</v>
      </c>
      <c r="ER1" s="1">
        <v>273</v>
      </c>
      <c r="ES1" s="1">
        <v>273.5</v>
      </c>
      <c r="ET1" s="1">
        <v>273</v>
      </c>
      <c r="EU1" s="1">
        <v>274.5</v>
      </c>
    </row>
    <row r="2" spans="1:151" x14ac:dyDescent="0.2">
      <c r="A2" s="1" t="s">
        <v>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D97-D33B-46A6-9BE5-1F908DB81E4F}">
  <dimension ref="A1:B151"/>
  <sheetViews>
    <sheetView workbookViewId="0"/>
  </sheetViews>
  <sheetFormatPr defaultRowHeight="12.75" x14ac:dyDescent="0.2"/>
  <cols>
    <col min="1" max="1" width="26.42578125" customWidth="1"/>
    <col min="2" max="2" width="31.7109375" customWidth="1"/>
  </cols>
  <sheetData>
    <row r="1" spans="1:2" ht="23.25" thickBot="1" x14ac:dyDescent="0.25">
      <c r="A1" s="14" t="s">
        <v>15</v>
      </c>
      <c r="B1" s="15" t="s">
        <v>16</v>
      </c>
    </row>
    <row r="2" spans="1:2" ht="23.25" thickBot="1" x14ac:dyDescent="0.25">
      <c r="A2" s="16">
        <v>1</v>
      </c>
      <c r="B2" s="17" t="s">
        <v>17</v>
      </c>
    </row>
    <row r="3" spans="1:2" ht="23.25" thickBot="1" x14ac:dyDescent="0.25">
      <c r="A3" s="16">
        <v>2</v>
      </c>
      <c r="B3" s="17" t="s">
        <v>18</v>
      </c>
    </row>
    <row r="4" spans="1:2" ht="23.25" thickBot="1" x14ac:dyDescent="0.25">
      <c r="A4" s="16">
        <v>3</v>
      </c>
      <c r="B4" s="17" t="s">
        <v>19</v>
      </c>
    </row>
    <row r="5" spans="1:2" ht="23.25" thickBot="1" x14ac:dyDescent="0.25">
      <c r="A5" s="16">
        <v>4</v>
      </c>
      <c r="B5" s="17" t="s">
        <v>20</v>
      </c>
    </row>
    <row r="6" spans="1:2" ht="23.25" thickBot="1" x14ac:dyDescent="0.25">
      <c r="A6" s="16">
        <v>5</v>
      </c>
      <c r="B6" s="17">
        <v>199</v>
      </c>
    </row>
    <row r="7" spans="1:2" ht="23.25" thickBot="1" x14ac:dyDescent="0.25">
      <c r="A7" s="16">
        <v>6</v>
      </c>
      <c r="B7" s="17" t="s">
        <v>21</v>
      </c>
    </row>
    <row r="8" spans="1:2" ht="23.25" thickBot="1" x14ac:dyDescent="0.25">
      <c r="A8" s="16">
        <v>7</v>
      </c>
      <c r="B8" s="17" t="s">
        <v>22</v>
      </c>
    </row>
    <row r="9" spans="1:2" ht="23.25" thickBot="1" x14ac:dyDescent="0.25">
      <c r="A9" s="16">
        <v>8</v>
      </c>
      <c r="B9" s="17">
        <v>200</v>
      </c>
    </row>
    <row r="10" spans="1:2" ht="23.25" thickBot="1" x14ac:dyDescent="0.25">
      <c r="A10" s="16">
        <v>9</v>
      </c>
      <c r="B10" s="17" t="s">
        <v>23</v>
      </c>
    </row>
    <row r="11" spans="1:2" ht="23.25" thickBot="1" x14ac:dyDescent="0.25">
      <c r="A11" s="16">
        <v>10</v>
      </c>
      <c r="B11" s="17" t="s">
        <v>24</v>
      </c>
    </row>
    <row r="12" spans="1:2" ht="23.25" thickBot="1" x14ac:dyDescent="0.25">
      <c r="A12" s="16">
        <v>11</v>
      </c>
      <c r="B12" s="17" t="s">
        <v>25</v>
      </c>
    </row>
    <row r="13" spans="1:2" ht="23.25" thickBot="1" x14ac:dyDescent="0.25">
      <c r="A13" s="16">
        <v>12</v>
      </c>
      <c r="B13" s="17" t="s">
        <v>26</v>
      </c>
    </row>
    <row r="14" spans="1:2" ht="23.25" thickBot="1" x14ac:dyDescent="0.25">
      <c r="A14" s="16">
        <v>13</v>
      </c>
      <c r="B14" s="17" t="s">
        <v>26</v>
      </c>
    </row>
    <row r="15" spans="1:2" ht="23.25" thickBot="1" x14ac:dyDescent="0.25">
      <c r="A15" s="16">
        <v>14</v>
      </c>
      <c r="B15" s="17" t="s">
        <v>27</v>
      </c>
    </row>
    <row r="16" spans="1:2" ht="23.25" thickBot="1" x14ac:dyDescent="0.25">
      <c r="A16" s="16">
        <v>15</v>
      </c>
      <c r="B16" s="17" t="s">
        <v>28</v>
      </c>
    </row>
    <row r="17" spans="1:2" ht="23.25" thickBot="1" x14ac:dyDescent="0.25">
      <c r="A17" s="16">
        <v>16</v>
      </c>
      <c r="B17" s="17" t="s">
        <v>29</v>
      </c>
    </row>
    <row r="18" spans="1:2" ht="23.25" thickBot="1" x14ac:dyDescent="0.25">
      <c r="A18" s="16">
        <v>17</v>
      </c>
      <c r="B18" s="17" t="s">
        <v>30</v>
      </c>
    </row>
    <row r="19" spans="1:2" ht="23.25" thickBot="1" x14ac:dyDescent="0.25">
      <c r="A19" s="16">
        <v>18</v>
      </c>
      <c r="B19" s="17" t="s">
        <v>30</v>
      </c>
    </row>
    <row r="20" spans="1:2" ht="23.25" thickBot="1" x14ac:dyDescent="0.25">
      <c r="A20" s="16">
        <v>19</v>
      </c>
      <c r="B20" s="17" t="s">
        <v>31</v>
      </c>
    </row>
    <row r="21" spans="1:2" ht="23.25" thickBot="1" x14ac:dyDescent="0.25">
      <c r="A21" s="16">
        <v>20</v>
      </c>
      <c r="B21" s="17" t="s">
        <v>32</v>
      </c>
    </row>
    <row r="22" spans="1:2" ht="23.25" thickBot="1" x14ac:dyDescent="0.25">
      <c r="A22" s="16">
        <v>21</v>
      </c>
      <c r="B22" s="17" t="s">
        <v>33</v>
      </c>
    </row>
    <row r="23" spans="1:2" ht="23.25" thickBot="1" x14ac:dyDescent="0.25">
      <c r="A23" s="16">
        <v>22</v>
      </c>
      <c r="B23" s="17" t="s">
        <v>34</v>
      </c>
    </row>
    <row r="24" spans="1:2" ht="23.25" thickBot="1" x14ac:dyDescent="0.25">
      <c r="A24" s="16">
        <v>23</v>
      </c>
      <c r="B24" s="17" t="s">
        <v>35</v>
      </c>
    </row>
    <row r="25" spans="1:2" ht="23.25" thickBot="1" x14ac:dyDescent="0.25">
      <c r="A25" s="16">
        <v>24</v>
      </c>
      <c r="B25" s="17" t="s">
        <v>36</v>
      </c>
    </row>
    <row r="26" spans="1:2" ht="23.25" thickBot="1" x14ac:dyDescent="0.25">
      <c r="A26" s="16">
        <v>25</v>
      </c>
      <c r="B26" s="17" t="s">
        <v>37</v>
      </c>
    </row>
    <row r="27" spans="1:2" ht="23.25" thickBot="1" x14ac:dyDescent="0.25">
      <c r="A27" s="16">
        <v>26</v>
      </c>
      <c r="B27" s="17" t="s">
        <v>38</v>
      </c>
    </row>
    <row r="28" spans="1:2" ht="23.25" thickBot="1" x14ac:dyDescent="0.25">
      <c r="A28" s="16">
        <v>27</v>
      </c>
      <c r="B28" s="17" t="s">
        <v>39</v>
      </c>
    </row>
    <row r="29" spans="1:2" ht="23.25" thickBot="1" x14ac:dyDescent="0.25">
      <c r="A29" s="16">
        <v>28</v>
      </c>
      <c r="B29" s="17" t="s">
        <v>40</v>
      </c>
    </row>
    <row r="30" spans="1:2" ht="23.25" thickBot="1" x14ac:dyDescent="0.25">
      <c r="A30" s="16">
        <v>29</v>
      </c>
      <c r="B30" s="17" t="s">
        <v>41</v>
      </c>
    </row>
    <row r="31" spans="1:2" ht="23.25" thickBot="1" x14ac:dyDescent="0.25">
      <c r="A31" s="16">
        <v>30</v>
      </c>
      <c r="B31" s="17" t="s">
        <v>40</v>
      </c>
    </row>
    <row r="32" spans="1:2" ht="23.25" thickBot="1" x14ac:dyDescent="0.25">
      <c r="A32" s="16">
        <v>31</v>
      </c>
      <c r="B32" s="17" t="s">
        <v>42</v>
      </c>
    </row>
    <row r="33" spans="1:2" ht="23.25" thickBot="1" x14ac:dyDescent="0.25">
      <c r="A33" s="16">
        <v>32</v>
      </c>
      <c r="B33" s="17" t="s">
        <v>43</v>
      </c>
    </row>
    <row r="34" spans="1:2" ht="23.25" thickBot="1" x14ac:dyDescent="0.25">
      <c r="A34" s="16">
        <v>33</v>
      </c>
      <c r="B34" s="17" t="s">
        <v>44</v>
      </c>
    </row>
    <row r="35" spans="1:2" ht="23.25" thickBot="1" x14ac:dyDescent="0.25">
      <c r="A35" s="16">
        <v>34</v>
      </c>
      <c r="B35" s="17" t="s">
        <v>45</v>
      </c>
    </row>
    <row r="36" spans="1:2" ht="23.25" thickBot="1" x14ac:dyDescent="0.25">
      <c r="A36" s="16">
        <v>35</v>
      </c>
      <c r="B36" s="17" t="s">
        <v>46</v>
      </c>
    </row>
    <row r="37" spans="1:2" ht="23.25" thickBot="1" x14ac:dyDescent="0.25">
      <c r="A37" s="16">
        <v>36</v>
      </c>
      <c r="B37" s="17" t="s">
        <v>47</v>
      </c>
    </row>
    <row r="38" spans="1:2" ht="23.25" thickBot="1" x14ac:dyDescent="0.25">
      <c r="A38" s="16">
        <v>37</v>
      </c>
      <c r="B38" s="17" t="s">
        <v>48</v>
      </c>
    </row>
    <row r="39" spans="1:2" ht="23.25" thickBot="1" x14ac:dyDescent="0.25">
      <c r="A39" s="16">
        <v>38</v>
      </c>
      <c r="B39" s="17" t="s">
        <v>49</v>
      </c>
    </row>
    <row r="40" spans="1:2" ht="23.25" thickBot="1" x14ac:dyDescent="0.25">
      <c r="A40" s="16">
        <v>39</v>
      </c>
      <c r="B40" s="17" t="s">
        <v>50</v>
      </c>
    </row>
    <row r="41" spans="1:2" ht="23.25" thickBot="1" x14ac:dyDescent="0.25">
      <c r="A41" s="16">
        <v>40</v>
      </c>
      <c r="B41" s="17">
        <v>215</v>
      </c>
    </row>
    <row r="42" spans="1:2" ht="23.25" thickBot="1" x14ac:dyDescent="0.25">
      <c r="A42" s="16">
        <v>41</v>
      </c>
      <c r="B42" s="17" t="s">
        <v>51</v>
      </c>
    </row>
    <row r="43" spans="1:2" ht="23.25" thickBot="1" x14ac:dyDescent="0.25">
      <c r="A43" s="16">
        <v>42</v>
      </c>
      <c r="B43" s="17" t="s">
        <v>52</v>
      </c>
    </row>
    <row r="44" spans="1:2" ht="23.25" thickBot="1" x14ac:dyDescent="0.25">
      <c r="A44" s="16">
        <v>43</v>
      </c>
      <c r="B44" s="17" t="s">
        <v>53</v>
      </c>
    </row>
    <row r="45" spans="1:2" ht="23.25" thickBot="1" x14ac:dyDescent="0.25">
      <c r="A45" s="16">
        <v>44</v>
      </c>
      <c r="B45" s="17" t="s">
        <v>53</v>
      </c>
    </row>
    <row r="46" spans="1:2" ht="23.25" thickBot="1" x14ac:dyDescent="0.25">
      <c r="A46" s="16">
        <v>45</v>
      </c>
      <c r="B46" s="17" t="s">
        <v>50</v>
      </c>
    </row>
    <row r="47" spans="1:2" ht="23.25" thickBot="1" x14ac:dyDescent="0.25">
      <c r="A47" s="16">
        <v>46</v>
      </c>
      <c r="B47" s="17" t="s">
        <v>37</v>
      </c>
    </row>
    <row r="48" spans="1:2" ht="23.25" thickBot="1" x14ac:dyDescent="0.25">
      <c r="A48" s="16">
        <v>47</v>
      </c>
      <c r="B48" s="17" t="s">
        <v>54</v>
      </c>
    </row>
    <row r="49" spans="1:2" ht="23.25" thickBot="1" x14ac:dyDescent="0.25">
      <c r="A49" s="16">
        <v>48</v>
      </c>
      <c r="B49" s="17" t="s">
        <v>55</v>
      </c>
    </row>
    <row r="50" spans="1:2" ht="23.25" thickBot="1" x14ac:dyDescent="0.25">
      <c r="A50" s="16">
        <v>49</v>
      </c>
      <c r="B50" s="17" t="s">
        <v>56</v>
      </c>
    </row>
    <row r="51" spans="1:2" ht="23.25" thickBot="1" x14ac:dyDescent="0.25">
      <c r="A51" s="16">
        <v>50</v>
      </c>
      <c r="B51" s="17" t="s">
        <v>57</v>
      </c>
    </row>
    <row r="52" spans="1:2" ht="23.25" thickBot="1" x14ac:dyDescent="0.25">
      <c r="A52" s="16">
        <v>51</v>
      </c>
      <c r="B52" s="17">
        <v>220</v>
      </c>
    </row>
    <row r="53" spans="1:2" ht="23.25" thickBot="1" x14ac:dyDescent="0.25">
      <c r="A53" s="16">
        <v>52</v>
      </c>
      <c r="B53" s="17" t="s">
        <v>37</v>
      </c>
    </row>
    <row r="54" spans="1:2" ht="23.25" thickBot="1" x14ac:dyDescent="0.25">
      <c r="A54" s="16">
        <v>53</v>
      </c>
      <c r="B54" s="17">
        <v>217</v>
      </c>
    </row>
    <row r="55" spans="1:2" ht="23.25" thickBot="1" x14ac:dyDescent="0.25">
      <c r="A55" s="16">
        <v>54</v>
      </c>
      <c r="B55" s="17" t="s">
        <v>52</v>
      </c>
    </row>
    <row r="56" spans="1:2" ht="23.25" thickBot="1" x14ac:dyDescent="0.25">
      <c r="A56" s="16">
        <v>55</v>
      </c>
      <c r="B56" s="17" t="s">
        <v>58</v>
      </c>
    </row>
    <row r="57" spans="1:2" ht="23.25" thickBot="1" x14ac:dyDescent="0.25">
      <c r="A57" s="16">
        <v>56</v>
      </c>
      <c r="B57" s="17" t="s">
        <v>59</v>
      </c>
    </row>
    <row r="58" spans="1:2" ht="23.25" thickBot="1" x14ac:dyDescent="0.25">
      <c r="A58" s="16">
        <v>57</v>
      </c>
      <c r="B58" s="17" t="s">
        <v>60</v>
      </c>
    </row>
    <row r="59" spans="1:2" ht="23.25" thickBot="1" x14ac:dyDescent="0.25">
      <c r="A59" s="16">
        <v>58</v>
      </c>
      <c r="B59" s="17" t="s">
        <v>61</v>
      </c>
    </row>
    <row r="60" spans="1:2" ht="23.25" thickBot="1" x14ac:dyDescent="0.25">
      <c r="A60" s="16">
        <v>59</v>
      </c>
      <c r="B60" s="17" t="s">
        <v>62</v>
      </c>
    </row>
    <row r="61" spans="1:2" ht="23.25" thickBot="1" x14ac:dyDescent="0.25">
      <c r="A61" s="16">
        <v>60</v>
      </c>
      <c r="B61" s="17" t="s">
        <v>63</v>
      </c>
    </row>
    <row r="62" spans="1:2" ht="23.25" thickBot="1" x14ac:dyDescent="0.25">
      <c r="A62" s="16">
        <v>61</v>
      </c>
      <c r="B62" s="17" t="s">
        <v>64</v>
      </c>
    </row>
    <row r="63" spans="1:2" ht="23.25" thickBot="1" x14ac:dyDescent="0.25">
      <c r="A63" s="16">
        <v>62</v>
      </c>
      <c r="B63" s="17" t="s">
        <v>65</v>
      </c>
    </row>
    <row r="64" spans="1:2" ht="23.25" thickBot="1" x14ac:dyDescent="0.25">
      <c r="A64" s="16">
        <v>63</v>
      </c>
      <c r="B64" s="17" t="s">
        <v>66</v>
      </c>
    </row>
    <row r="65" spans="1:2" ht="23.25" thickBot="1" x14ac:dyDescent="0.25">
      <c r="A65" s="16">
        <v>64</v>
      </c>
      <c r="B65" s="17" t="s">
        <v>67</v>
      </c>
    </row>
    <row r="66" spans="1:2" ht="23.25" thickBot="1" x14ac:dyDescent="0.25">
      <c r="A66" s="16">
        <v>65</v>
      </c>
      <c r="B66" s="17" t="s">
        <v>68</v>
      </c>
    </row>
    <row r="67" spans="1:2" ht="23.25" thickBot="1" x14ac:dyDescent="0.25">
      <c r="A67" s="16">
        <v>66</v>
      </c>
      <c r="B67" s="17" t="s">
        <v>69</v>
      </c>
    </row>
    <row r="68" spans="1:2" ht="23.25" thickBot="1" x14ac:dyDescent="0.25">
      <c r="A68" s="16">
        <v>67</v>
      </c>
      <c r="B68" s="17" t="s">
        <v>60</v>
      </c>
    </row>
    <row r="69" spans="1:2" ht="23.25" thickBot="1" x14ac:dyDescent="0.25">
      <c r="A69" s="16">
        <v>68</v>
      </c>
      <c r="B69" s="17">
        <v>213</v>
      </c>
    </row>
    <row r="70" spans="1:2" ht="23.25" thickBot="1" x14ac:dyDescent="0.25">
      <c r="A70" s="16">
        <v>69</v>
      </c>
      <c r="B70" s="17">
        <v>211</v>
      </c>
    </row>
    <row r="71" spans="1:2" ht="23.25" thickBot="1" x14ac:dyDescent="0.25">
      <c r="A71" s="16">
        <v>70</v>
      </c>
      <c r="B71" s="17" t="s">
        <v>70</v>
      </c>
    </row>
    <row r="72" spans="1:2" ht="23.25" thickBot="1" x14ac:dyDescent="0.25">
      <c r="A72" s="16">
        <v>71</v>
      </c>
      <c r="B72" s="17" t="s">
        <v>71</v>
      </c>
    </row>
    <row r="73" spans="1:2" ht="23.25" thickBot="1" x14ac:dyDescent="0.25">
      <c r="A73" s="16">
        <v>72</v>
      </c>
      <c r="B73" s="17" t="s">
        <v>65</v>
      </c>
    </row>
    <row r="74" spans="1:2" ht="23.25" thickBot="1" x14ac:dyDescent="0.25">
      <c r="A74" s="16">
        <v>73</v>
      </c>
      <c r="B74" s="17">
        <v>210</v>
      </c>
    </row>
    <row r="75" spans="1:2" ht="23.25" thickBot="1" x14ac:dyDescent="0.25">
      <c r="A75" s="16">
        <v>74</v>
      </c>
      <c r="B75" s="17" t="s">
        <v>72</v>
      </c>
    </row>
    <row r="76" spans="1:2" ht="23.25" thickBot="1" x14ac:dyDescent="0.25">
      <c r="A76" s="16">
        <v>75</v>
      </c>
      <c r="B76" s="17" t="s">
        <v>32</v>
      </c>
    </row>
    <row r="77" spans="1:2" ht="23.25" thickBot="1" x14ac:dyDescent="0.25">
      <c r="A77" s="16">
        <v>76</v>
      </c>
      <c r="B77" s="17" t="s">
        <v>32</v>
      </c>
    </row>
    <row r="78" spans="1:2" ht="23.25" thickBot="1" x14ac:dyDescent="0.25">
      <c r="A78" s="16">
        <v>77</v>
      </c>
      <c r="B78" s="17" t="s">
        <v>32</v>
      </c>
    </row>
    <row r="79" spans="1:2" ht="23.25" thickBot="1" x14ac:dyDescent="0.25">
      <c r="A79" s="16">
        <v>78</v>
      </c>
      <c r="B79" s="17" t="s">
        <v>73</v>
      </c>
    </row>
    <row r="80" spans="1:2" ht="23.25" thickBot="1" x14ac:dyDescent="0.25">
      <c r="A80" s="16">
        <v>79</v>
      </c>
      <c r="B80" s="17" t="s">
        <v>74</v>
      </c>
    </row>
    <row r="81" spans="1:2" ht="23.25" thickBot="1" x14ac:dyDescent="0.25">
      <c r="A81" s="16">
        <v>80</v>
      </c>
      <c r="B81" s="17" t="s">
        <v>75</v>
      </c>
    </row>
    <row r="82" spans="1:2" ht="23.25" thickBot="1" x14ac:dyDescent="0.25">
      <c r="A82" s="16">
        <v>81</v>
      </c>
      <c r="B82" s="17" t="s">
        <v>76</v>
      </c>
    </row>
    <row r="83" spans="1:2" ht="23.25" thickBot="1" x14ac:dyDescent="0.25">
      <c r="A83" s="16">
        <v>82</v>
      </c>
      <c r="B83" s="17" t="s">
        <v>77</v>
      </c>
    </row>
    <row r="84" spans="1:2" ht="23.25" thickBot="1" x14ac:dyDescent="0.25">
      <c r="A84" s="16">
        <v>83</v>
      </c>
      <c r="B84" s="17" t="s">
        <v>51</v>
      </c>
    </row>
    <row r="85" spans="1:2" ht="23.25" thickBot="1" x14ac:dyDescent="0.25">
      <c r="A85" s="16">
        <v>84</v>
      </c>
      <c r="B85" s="17" t="s">
        <v>78</v>
      </c>
    </row>
    <row r="86" spans="1:2" ht="23.25" thickBot="1" x14ac:dyDescent="0.25">
      <c r="A86" s="16">
        <v>85</v>
      </c>
      <c r="B86" s="17" t="s">
        <v>79</v>
      </c>
    </row>
    <row r="87" spans="1:2" ht="23.25" thickBot="1" x14ac:dyDescent="0.25">
      <c r="A87" s="16">
        <v>86</v>
      </c>
      <c r="B87" s="17" t="s">
        <v>57</v>
      </c>
    </row>
    <row r="88" spans="1:2" ht="23.25" thickBot="1" x14ac:dyDescent="0.25">
      <c r="A88" s="16">
        <v>87</v>
      </c>
      <c r="B88" s="17" t="s">
        <v>56</v>
      </c>
    </row>
    <row r="89" spans="1:2" ht="23.25" thickBot="1" x14ac:dyDescent="0.25">
      <c r="A89" s="16">
        <v>88</v>
      </c>
      <c r="B89" s="17" t="s">
        <v>80</v>
      </c>
    </row>
    <row r="90" spans="1:2" ht="23.25" thickBot="1" x14ac:dyDescent="0.25">
      <c r="A90" s="16">
        <v>89</v>
      </c>
      <c r="B90" s="17" t="s">
        <v>81</v>
      </c>
    </row>
    <row r="91" spans="1:2" ht="23.25" thickBot="1" x14ac:dyDescent="0.25">
      <c r="A91" s="16">
        <v>90</v>
      </c>
      <c r="B91" s="17" t="s">
        <v>82</v>
      </c>
    </row>
    <row r="92" spans="1:2" ht="23.25" thickBot="1" x14ac:dyDescent="0.25">
      <c r="A92" s="16">
        <v>91</v>
      </c>
      <c r="B92" s="17" t="s">
        <v>83</v>
      </c>
    </row>
    <row r="93" spans="1:2" ht="23.25" thickBot="1" x14ac:dyDescent="0.25">
      <c r="A93" s="16">
        <v>92</v>
      </c>
      <c r="B93" s="17" t="s">
        <v>84</v>
      </c>
    </row>
    <row r="94" spans="1:2" ht="23.25" thickBot="1" x14ac:dyDescent="0.25">
      <c r="A94" s="16">
        <v>93</v>
      </c>
      <c r="B94" s="17" t="s">
        <v>85</v>
      </c>
    </row>
    <row r="95" spans="1:2" ht="23.25" thickBot="1" x14ac:dyDescent="0.25">
      <c r="A95" s="16">
        <v>94</v>
      </c>
      <c r="B95" s="17" t="s">
        <v>86</v>
      </c>
    </row>
    <row r="96" spans="1:2" ht="23.25" thickBot="1" x14ac:dyDescent="0.25">
      <c r="A96" s="16">
        <v>95</v>
      </c>
      <c r="B96" s="17" t="s">
        <v>87</v>
      </c>
    </row>
    <row r="97" spans="1:2" ht="23.25" thickBot="1" x14ac:dyDescent="0.25">
      <c r="A97" s="16">
        <v>96</v>
      </c>
      <c r="B97" s="17">
        <v>246</v>
      </c>
    </row>
    <row r="98" spans="1:2" ht="23.25" thickBot="1" x14ac:dyDescent="0.25">
      <c r="A98" s="16">
        <v>97</v>
      </c>
      <c r="B98" s="17" t="s">
        <v>88</v>
      </c>
    </row>
    <row r="99" spans="1:2" ht="23.25" thickBot="1" x14ac:dyDescent="0.25">
      <c r="A99" s="16">
        <v>98</v>
      </c>
      <c r="B99" s="17" t="s">
        <v>89</v>
      </c>
    </row>
    <row r="100" spans="1:2" ht="23.25" thickBot="1" x14ac:dyDescent="0.25">
      <c r="A100" s="16">
        <v>99</v>
      </c>
      <c r="B100" s="17" t="s">
        <v>90</v>
      </c>
    </row>
    <row r="101" spans="1:2" ht="23.25" thickBot="1" x14ac:dyDescent="0.25">
      <c r="A101" s="16">
        <v>100</v>
      </c>
      <c r="B101" s="17" t="s">
        <v>91</v>
      </c>
    </row>
    <row r="102" spans="1:2" ht="23.25" thickBot="1" x14ac:dyDescent="0.25">
      <c r="A102" s="16">
        <v>101</v>
      </c>
      <c r="B102" s="17" t="s">
        <v>92</v>
      </c>
    </row>
    <row r="103" spans="1:2" ht="23.25" thickBot="1" x14ac:dyDescent="0.25">
      <c r="A103" s="16">
        <v>102</v>
      </c>
      <c r="B103" s="17">
        <v>249</v>
      </c>
    </row>
    <row r="104" spans="1:2" ht="23.25" thickBot="1" x14ac:dyDescent="0.25">
      <c r="A104" s="16">
        <v>103</v>
      </c>
      <c r="B104" s="17" t="s">
        <v>93</v>
      </c>
    </row>
    <row r="105" spans="1:2" ht="23.25" thickBot="1" x14ac:dyDescent="0.25">
      <c r="A105" s="16">
        <v>104</v>
      </c>
      <c r="B105" s="17" t="s">
        <v>94</v>
      </c>
    </row>
    <row r="106" spans="1:2" ht="23.25" thickBot="1" x14ac:dyDescent="0.25">
      <c r="A106" s="16">
        <v>105</v>
      </c>
      <c r="B106" s="17" t="s">
        <v>95</v>
      </c>
    </row>
    <row r="107" spans="1:2" ht="23.25" thickBot="1" x14ac:dyDescent="0.25">
      <c r="A107" s="16">
        <v>106</v>
      </c>
      <c r="B107" s="17">
        <v>249</v>
      </c>
    </row>
    <row r="108" spans="1:2" ht="23.25" thickBot="1" x14ac:dyDescent="0.25">
      <c r="A108" s="16">
        <v>107</v>
      </c>
      <c r="B108" s="17" t="s">
        <v>90</v>
      </c>
    </row>
    <row r="109" spans="1:2" ht="23.25" thickBot="1" x14ac:dyDescent="0.25">
      <c r="A109" s="16">
        <v>108</v>
      </c>
      <c r="B109" s="17" t="s">
        <v>96</v>
      </c>
    </row>
    <row r="110" spans="1:2" ht="23.25" thickBot="1" x14ac:dyDescent="0.25">
      <c r="A110" s="16">
        <v>109</v>
      </c>
      <c r="B110" s="17" t="s">
        <v>97</v>
      </c>
    </row>
    <row r="111" spans="1:2" ht="23.25" thickBot="1" x14ac:dyDescent="0.25">
      <c r="A111" s="16">
        <v>110</v>
      </c>
      <c r="B111" s="17" t="s">
        <v>98</v>
      </c>
    </row>
    <row r="112" spans="1:2" ht="23.25" thickBot="1" x14ac:dyDescent="0.25">
      <c r="A112" s="16">
        <v>111</v>
      </c>
      <c r="B112" s="17">
        <v>253</v>
      </c>
    </row>
    <row r="113" spans="1:2" ht="23.25" thickBot="1" x14ac:dyDescent="0.25">
      <c r="A113" s="16">
        <v>112</v>
      </c>
      <c r="B113" s="17" t="s">
        <v>99</v>
      </c>
    </row>
    <row r="114" spans="1:2" ht="23.25" thickBot="1" x14ac:dyDescent="0.25">
      <c r="A114" s="16">
        <v>113</v>
      </c>
      <c r="B114" s="17">
        <v>255</v>
      </c>
    </row>
    <row r="115" spans="1:2" ht="23.25" thickBot="1" x14ac:dyDescent="0.25">
      <c r="A115" s="16">
        <v>114</v>
      </c>
      <c r="B115" s="17" t="s">
        <v>100</v>
      </c>
    </row>
    <row r="116" spans="1:2" ht="23.25" thickBot="1" x14ac:dyDescent="0.25">
      <c r="A116" s="16">
        <v>115</v>
      </c>
      <c r="B116" s="17">
        <v>256</v>
      </c>
    </row>
    <row r="117" spans="1:2" ht="23.25" thickBot="1" x14ac:dyDescent="0.25">
      <c r="A117" s="16">
        <v>116</v>
      </c>
      <c r="B117" s="17" t="s">
        <v>101</v>
      </c>
    </row>
    <row r="118" spans="1:2" ht="23.25" thickBot="1" x14ac:dyDescent="0.25">
      <c r="A118" s="16">
        <v>117</v>
      </c>
      <c r="B118" s="17" t="s">
        <v>102</v>
      </c>
    </row>
    <row r="119" spans="1:2" ht="23.25" thickBot="1" x14ac:dyDescent="0.25">
      <c r="A119" s="16">
        <v>118</v>
      </c>
      <c r="B119" s="17">
        <v>260</v>
      </c>
    </row>
    <row r="120" spans="1:2" ht="23.25" thickBot="1" x14ac:dyDescent="0.25">
      <c r="A120" s="16">
        <v>119</v>
      </c>
      <c r="B120" s="17" t="s">
        <v>103</v>
      </c>
    </row>
    <row r="121" spans="1:2" ht="23.25" thickBot="1" x14ac:dyDescent="0.25">
      <c r="A121" s="16">
        <v>120</v>
      </c>
      <c r="B121" s="17" t="s">
        <v>102</v>
      </c>
    </row>
    <row r="122" spans="1:2" ht="23.25" thickBot="1" x14ac:dyDescent="0.25">
      <c r="A122" s="16">
        <v>121</v>
      </c>
      <c r="B122" s="17" t="s">
        <v>104</v>
      </c>
    </row>
    <row r="123" spans="1:2" ht="23.25" thickBot="1" x14ac:dyDescent="0.25">
      <c r="A123" s="16">
        <v>122</v>
      </c>
      <c r="B123" s="17" t="s">
        <v>105</v>
      </c>
    </row>
    <row r="124" spans="1:2" ht="23.25" thickBot="1" x14ac:dyDescent="0.25">
      <c r="A124" s="16">
        <v>123</v>
      </c>
      <c r="B124" s="17" t="s">
        <v>106</v>
      </c>
    </row>
    <row r="125" spans="1:2" ht="23.25" thickBot="1" x14ac:dyDescent="0.25">
      <c r="A125" s="16">
        <v>124</v>
      </c>
      <c r="B125" s="17">
        <v>259</v>
      </c>
    </row>
    <row r="126" spans="1:2" ht="23.25" thickBot="1" x14ac:dyDescent="0.25">
      <c r="A126" s="16">
        <v>125</v>
      </c>
      <c r="B126" s="17" t="s">
        <v>107</v>
      </c>
    </row>
    <row r="127" spans="1:2" ht="23.25" thickBot="1" x14ac:dyDescent="0.25">
      <c r="A127" s="16">
        <v>126</v>
      </c>
      <c r="B127" s="17" t="s">
        <v>101</v>
      </c>
    </row>
    <row r="128" spans="1:2" ht="23.25" thickBot="1" x14ac:dyDescent="0.25">
      <c r="A128" s="16">
        <v>127</v>
      </c>
      <c r="B128" s="17" t="s">
        <v>108</v>
      </c>
    </row>
    <row r="129" spans="1:2" ht="23.25" thickBot="1" x14ac:dyDescent="0.25">
      <c r="A129" s="16">
        <v>128</v>
      </c>
      <c r="B129" s="17" t="s">
        <v>109</v>
      </c>
    </row>
    <row r="130" spans="1:2" ht="23.25" thickBot="1" x14ac:dyDescent="0.25">
      <c r="A130" s="16">
        <v>129</v>
      </c>
      <c r="B130" s="17" t="s">
        <v>101</v>
      </c>
    </row>
    <row r="131" spans="1:2" ht="23.25" thickBot="1" x14ac:dyDescent="0.25">
      <c r="A131" s="16">
        <v>130</v>
      </c>
      <c r="B131" s="17" t="s">
        <v>110</v>
      </c>
    </row>
    <row r="132" spans="1:2" ht="23.25" thickBot="1" x14ac:dyDescent="0.25">
      <c r="A132" s="16">
        <v>131</v>
      </c>
      <c r="B132" s="17" t="s">
        <v>111</v>
      </c>
    </row>
    <row r="133" spans="1:2" ht="23.25" thickBot="1" x14ac:dyDescent="0.25">
      <c r="A133" s="16">
        <v>132</v>
      </c>
      <c r="B133" s="17" t="s">
        <v>107</v>
      </c>
    </row>
    <row r="134" spans="1:2" ht="23.25" thickBot="1" x14ac:dyDescent="0.25">
      <c r="A134" s="16">
        <v>133</v>
      </c>
      <c r="B134" s="17" t="s">
        <v>112</v>
      </c>
    </row>
    <row r="135" spans="1:2" ht="23.25" thickBot="1" x14ac:dyDescent="0.25">
      <c r="A135" s="16">
        <v>134</v>
      </c>
      <c r="B135" s="17" t="s">
        <v>108</v>
      </c>
    </row>
    <row r="136" spans="1:2" ht="23.25" thickBot="1" x14ac:dyDescent="0.25">
      <c r="A136" s="16">
        <v>135</v>
      </c>
      <c r="B136" s="17" t="s">
        <v>113</v>
      </c>
    </row>
    <row r="137" spans="1:2" ht="23.25" thickBot="1" x14ac:dyDescent="0.25">
      <c r="A137" s="16">
        <v>136</v>
      </c>
      <c r="B137" s="17" t="s">
        <v>114</v>
      </c>
    </row>
    <row r="138" spans="1:2" ht="23.25" thickBot="1" x14ac:dyDescent="0.25">
      <c r="A138" s="16">
        <v>137</v>
      </c>
      <c r="B138" s="17" t="s">
        <v>115</v>
      </c>
    </row>
    <row r="139" spans="1:2" ht="23.25" thickBot="1" x14ac:dyDescent="0.25">
      <c r="A139" s="16">
        <v>138</v>
      </c>
      <c r="B139" s="17" t="s">
        <v>114</v>
      </c>
    </row>
    <row r="140" spans="1:2" ht="23.25" thickBot="1" x14ac:dyDescent="0.25">
      <c r="A140" s="16">
        <v>139</v>
      </c>
      <c r="B140" s="17">
        <v>257</v>
      </c>
    </row>
    <row r="141" spans="1:2" ht="23.25" thickBot="1" x14ac:dyDescent="0.25">
      <c r="A141" s="16">
        <v>140</v>
      </c>
      <c r="B141" s="17" t="s">
        <v>111</v>
      </c>
    </row>
    <row r="142" spans="1:2" ht="23.25" thickBot="1" x14ac:dyDescent="0.25">
      <c r="A142" s="16">
        <v>141</v>
      </c>
      <c r="B142" s="17" t="s">
        <v>110</v>
      </c>
    </row>
    <row r="143" spans="1:2" ht="23.25" thickBot="1" x14ac:dyDescent="0.25">
      <c r="A143" s="16">
        <v>142</v>
      </c>
      <c r="B143" s="17" t="s">
        <v>114</v>
      </c>
    </row>
    <row r="144" spans="1:2" ht="23.25" thickBot="1" x14ac:dyDescent="0.25">
      <c r="A144" s="16">
        <v>143</v>
      </c>
      <c r="B144" s="17" t="s">
        <v>116</v>
      </c>
    </row>
    <row r="145" spans="1:2" ht="23.25" thickBot="1" x14ac:dyDescent="0.25">
      <c r="A145" s="16">
        <v>144</v>
      </c>
      <c r="B145" s="17" t="s">
        <v>117</v>
      </c>
    </row>
    <row r="146" spans="1:2" ht="23.25" thickBot="1" x14ac:dyDescent="0.25">
      <c r="A146" s="16">
        <v>145</v>
      </c>
      <c r="B146" s="17" t="s">
        <v>118</v>
      </c>
    </row>
    <row r="147" spans="1:2" ht="23.25" thickBot="1" x14ac:dyDescent="0.25">
      <c r="A147" s="16">
        <v>146</v>
      </c>
      <c r="B147" s="17" t="s">
        <v>119</v>
      </c>
    </row>
    <row r="148" spans="1:2" ht="23.25" thickBot="1" x14ac:dyDescent="0.25">
      <c r="A148" s="16">
        <v>147</v>
      </c>
      <c r="B148" s="17" t="s">
        <v>120</v>
      </c>
    </row>
    <row r="149" spans="1:2" ht="23.25" thickBot="1" x14ac:dyDescent="0.25">
      <c r="A149" s="16">
        <v>148</v>
      </c>
      <c r="B149" s="17" t="s">
        <v>121</v>
      </c>
    </row>
    <row r="150" spans="1:2" ht="23.25" thickBot="1" x14ac:dyDescent="0.25">
      <c r="A150" s="16">
        <v>149</v>
      </c>
      <c r="B150" s="17" t="s">
        <v>122</v>
      </c>
    </row>
    <row r="151" spans="1:2" ht="22.5" x14ac:dyDescent="0.2">
      <c r="A151" s="18">
        <v>150</v>
      </c>
      <c r="B151" s="19">
        <v>262.7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</vt:lpstr>
      <vt:lpstr>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 user123</cp:lastModifiedBy>
  <dcterms:modified xsi:type="dcterms:W3CDTF">2023-12-07T10:19:35Z</dcterms:modified>
</cp:coreProperties>
</file>