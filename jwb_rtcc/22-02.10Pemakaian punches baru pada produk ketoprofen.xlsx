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_User111\Downloads\"/>
    </mc:Choice>
  </mc:AlternateContent>
  <xr:revisionPtr revIDLastSave="0" documentId="13_ncr:1_{2D625E1A-3BE7-4FB4-A6D1-09BC468CA157}" xr6:coauthVersionLast="47" xr6:coauthVersionMax="47" xr10:uidLastSave="{00000000-0000-0000-0000-000000000000}"/>
  <bookViews>
    <workbookView xWindow="-120" yWindow="-120" windowWidth="20730" windowHeight="11160" xr2:uid="{E51C0F87-7C69-48BA-BFDB-E2AC6C945863}"/>
  </bookViews>
  <sheets>
    <sheet name="Ketoprofen" sheetId="2" r:id="rId1"/>
  </sheets>
  <definedNames>
    <definedName name="_xlnm.Print_Area" localSheetId="0">Ketoprofen!$A$1:$V$26</definedName>
    <definedName name="_xlnm.Print_Titles" localSheetId="0">Ketoprofen!$10:$11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K21" i="2"/>
  <c r="J21" i="2"/>
  <c r="K19" i="2"/>
  <c r="K18" i="2"/>
  <c r="K17" i="2"/>
  <c r="K16" i="2"/>
  <c r="J16" i="2"/>
  <c r="K15" i="2"/>
  <c r="J15" i="2"/>
  <c r="K14" i="2"/>
  <c r="J14" i="2"/>
  <c r="K12" i="2"/>
  <c r="J12" i="2"/>
</calcChain>
</file>

<file path=xl/sharedStrings.xml><?xml version="1.0" encoding="utf-8"?>
<sst xmlns="http://schemas.openxmlformats.org/spreadsheetml/2006/main" count="104" uniqueCount="81">
  <si>
    <r>
      <t xml:space="preserve">2nd </t>
    </r>
    <r>
      <rPr>
        <sz val="10"/>
        <color theme="1"/>
        <rFont val="Tahoma"/>
        <family val="2"/>
      </rPr>
      <t>Attachment</t>
    </r>
  </si>
  <si>
    <t>Document No.</t>
  </si>
  <si>
    <t>:</t>
  </si>
  <si>
    <t>Effective Date</t>
  </si>
  <si>
    <r>
      <t xml:space="preserve">FORMULIR </t>
    </r>
    <r>
      <rPr>
        <b/>
        <i/>
        <sz val="14"/>
        <color theme="1"/>
        <rFont val="Tahoma"/>
        <family val="2"/>
      </rPr>
      <t>FAILURE MODE AND EFFECT ANALYSIS</t>
    </r>
    <r>
      <rPr>
        <b/>
        <sz val="14"/>
        <color theme="1"/>
        <rFont val="Tahoma"/>
        <family val="2"/>
      </rPr>
      <t xml:space="preserve"> (FMEA)</t>
    </r>
  </si>
  <si>
    <r>
      <t>No. Kajian/</t>
    </r>
    <r>
      <rPr>
        <i/>
        <sz val="10"/>
        <color theme="1"/>
        <rFont val="Tahoma"/>
        <family val="2"/>
      </rPr>
      <t>Assesment no.</t>
    </r>
  </si>
  <si>
    <r>
      <t>Ruang lingkup/</t>
    </r>
    <r>
      <rPr>
        <i/>
        <sz val="10"/>
        <color theme="1"/>
        <rFont val="Tahoma"/>
        <family val="2"/>
      </rPr>
      <t>Scope</t>
    </r>
  </si>
  <si>
    <t>Pemakaian punches baru dengan penandaan berbeda dengan eksisting untuk produk ketoprofen</t>
  </si>
  <si>
    <t>No.</t>
  </si>
  <si>
    <t>Component*</t>
  </si>
  <si>
    <t>Potential Failure Mode</t>
  </si>
  <si>
    <t>Potential Failure Effect</t>
  </si>
  <si>
    <t>S</t>
  </si>
  <si>
    <t>Potential Cause</t>
  </si>
  <si>
    <t>O</t>
  </si>
  <si>
    <t>D</t>
  </si>
  <si>
    <t>RPN</t>
  </si>
  <si>
    <t>Risk Category</t>
  </si>
  <si>
    <t>Current Process Control</t>
  </si>
  <si>
    <t>Recommended Action</t>
  </si>
  <si>
    <t>Responsibility</t>
  </si>
  <si>
    <t>Target Date</t>
  </si>
  <si>
    <t>Action Taken</t>
  </si>
  <si>
    <t>After Action Taken</t>
  </si>
  <si>
    <t>New Target Date</t>
  </si>
  <si>
    <t>New RPN</t>
  </si>
  <si>
    <t>New Risk Category</t>
  </si>
  <si>
    <t>Perubahan penandaan punches</t>
  </si>
  <si>
    <t>Saat proses pencetakan pemerian tablet gripis</t>
  </si>
  <si>
    <t>Hasil cetak tidak memenuhi spesifikasi</t>
  </si>
  <si>
    <t>Potensi terjadi tidak pasnya settingan mesin karna sebelumnya mesin diperbaiki oleh teknik</t>
  </si>
  <si>
    <t>Belum ada</t>
  </si>
  <si>
    <t>Proses pencetakan dihold</t>
  </si>
  <si>
    <t>Produksi</t>
  </si>
  <si>
    <t>Proses pencetakan produk ketoprofen tidak bisa dilanjutkan</t>
  </si>
  <si>
    <t>Pemenuhan pesanan tidak tercapai</t>
  </si>
  <si>
    <t>Tidak adanya spare punches dengan spesifikasi NIE Bandung</t>
  </si>
  <si>
    <t>Proses pencetakan menggunakan punches ketoprofen baru</t>
  </si>
  <si>
    <t>Punches ketoprofen baru yang datang berbeda spesifikasinya (Pemerian, bentuk, dan diameter) dengan punches existing</t>
  </si>
  <si>
    <t>Penandaan tablet menjadi berbeda</t>
  </si>
  <si>
    <t xml:space="preserve">Punches baru dipesan berdasarkan spesifikasi NIE banjaran </t>
  </si>
  <si>
    <t>Penggunaan punches dihold</t>
  </si>
  <si>
    <t>Sep 21</t>
  </si>
  <si>
    <t>Kesesuaian dengan NIE</t>
  </si>
  <si>
    <t>Tidak sesuai dengan spesifikasi yang disetujui di NIE</t>
  </si>
  <si>
    <t>Temuan ketidaksesuaian pemerian fisik pada saat sampling pasar oleh BPOM</t>
  </si>
  <si>
    <t>Menggunakan prinsip "Do and tell" terkait perubahan spesifikasi tersebut</t>
  </si>
  <si>
    <t>Registrasi variasi minor dengan notifikasi</t>
  </si>
  <si>
    <t>QA</t>
  </si>
  <si>
    <t>Apr 22</t>
  </si>
  <si>
    <t xml:space="preserve">Spesifikasi punches baru tidak sesuai </t>
  </si>
  <si>
    <t>Punches tidak bisa digunakan</t>
  </si>
  <si>
    <t>Ketidaksesuaian spesifikasi dengan drawing punches</t>
  </si>
  <si>
    <t>Pengecekan drawing punches saat pembuatan PR</t>
  </si>
  <si>
    <t>Dilakukan uji fungsi terlebih dahulu</t>
  </si>
  <si>
    <t>Punches baru digunakan saat proses pencetakan</t>
  </si>
  <si>
    <t>Tablet yang dihasilkan tidak sesuai dengan spesifikasi yang telah ditentukan baik penandaan maupun masalah-masalah lain seperti sticking, codak dan lain-lain</t>
  </si>
  <si>
    <t>Proses pencetakan menggunakan punches baru yang belum pernah ditrial</t>
  </si>
  <si>
    <t>Dilakukan uji fungsi dengan plasebo</t>
  </si>
  <si>
    <t>Pencetakan skala produksi 3 batch awal didampingi oleh technical support</t>
  </si>
  <si>
    <t>Produksi, Technical Support</t>
  </si>
  <si>
    <t>Tablet yang dihasilkan tidak sesuai dengan spesifikasi (tablet TMS)</t>
  </si>
  <si>
    <t>Adanya penyimpangan pada batch yang sedang diproses</t>
  </si>
  <si>
    <t>PPI yang digunakan belum direvisi</t>
  </si>
  <si>
    <t xml:space="preserve">Pembuatan form penyimpangan terkait spesifikasi dan penggunaan punches baru dihilangkan dan mengacu pada MOM saja </t>
  </si>
  <si>
    <t>Technical Support</t>
  </si>
  <si>
    <t>Okt 21</t>
  </si>
  <si>
    <t>Revisi PPI dan dokumen spesifikasi produk antara atau ruahan</t>
  </si>
  <si>
    <t>Okt 22</t>
  </si>
  <si>
    <t>Konsumen</t>
  </si>
  <si>
    <t xml:space="preserve">Konsumen menjadi tidak yakin saat akan meminum obat apabila penampilan tablet (penandaan) berbeda </t>
  </si>
  <si>
    <t xml:space="preserve">Terdapat 2 macam penandaan yang berbeda </t>
  </si>
  <si>
    <t xml:space="preserve">Dibuatkan surat pemberitahuan terjadi perubahan penandaan pada produk </t>
  </si>
  <si>
    <t>PPIC</t>
  </si>
  <si>
    <r>
      <t xml:space="preserve">Keterangan:
* </t>
    </r>
    <r>
      <rPr>
        <i/>
        <sz val="10"/>
        <color theme="1"/>
        <rFont val="Tahoma"/>
        <family val="2"/>
      </rPr>
      <t>component</t>
    </r>
    <r>
      <rPr>
        <sz val="10"/>
        <color theme="1"/>
        <rFont val="Tahoma"/>
        <family val="2"/>
      </rPr>
      <t xml:space="preserve"> dapat berupa sistem, proses, atau produk
S: </t>
    </r>
    <r>
      <rPr>
        <i/>
        <sz val="10"/>
        <color theme="1"/>
        <rFont val="Tahoma"/>
        <family val="2"/>
      </rPr>
      <t>severity</t>
    </r>
    <r>
      <rPr>
        <sz val="10"/>
        <color theme="1"/>
        <rFont val="Tahoma"/>
        <family val="2"/>
      </rPr>
      <t xml:space="preserve">
O: </t>
    </r>
    <r>
      <rPr>
        <i/>
        <sz val="10"/>
        <color theme="1"/>
        <rFont val="Tahoma"/>
        <family val="2"/>
      </rPr>
      <t>occurrence</t>
    </r>
    <r>
      <rPr>
        <sz val="10"/>
        <color theme="1"/>
        <rFont val="Tahoma"/>
        <family val="2"/>
      </rPr>
      <t xml:space="preserve">
D: </t>
    </r>
    <r>
      <rPr>
        <i/>
        <sz val="10"/>
        <color theme="1"/>
        <rFont val="Tahoma"/>
        <family val="2"/>
      </rPr>
      <t>detection</t>
    </r>
    <r>
      <rPr>
        <sz val="10"/>
        <color theme="1"/>
        <rFont val="Tahoma"/>
        <family val="2"/>
      </rPr>
      <t xml:space="preserve">
</t>
    </r>
  </si>
  <si>
    <r>
      <t>Disusun oleh/</t>
    </r>
    <r>
      <rPr>
        <i/>
        <sz val="10"/>
        <color theme="1"/>
        <rFont val="Tahoma"/>
        <family val="2"/>
      </rPr>
      <t>Prepared by :</t>
    </r>
  </si>
  <si>
    <r>
      <t>Diperiksa oleh/</t>
    </r>
    <r>
      <rPr>
        <i/>
        <sz val="10"/>
        <color theme="1"/>
        <rFont val="Tahoma"/>
        <family val="2"/>
      </rPr>
      <t>Checked by</t>
    </r>
    <r>
      <rPr>
        <sz val="10"/>
        <color theme="1"/>
        <rFont val="Tahoma"/>
        <family val="2"/>
      </rPr>
      <t xml:space="preserve"> :</t>
    </r>
  </si>
  <si>
    <r>
      <t>Disahkan oleh/</t>
    </r>
    <r>
      <rPr>
        <i/>
        <sz val="10"/>
        <color theme="1"/>
        <rFont val="Tahoma"/>
        <family val="2"/>
      </rPr>
      <t>Approved by</t>
    </r>
    <r>
      <rPr>
        <sz val="10"/>
        <color theme="1"/>
        <rFont val="Tahoma"/>
        <family val="2"/>
      </rPr>
      <t xml:space="preserve"> :</t>
    </r>
  </si>
  <si>
    <t>(                                                 )</t>
  </si>
  <si>
    <t>(                                                         )</t>
  </si>
  <si>
    <t>Punches gompal/ bergerigi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</si>
</sst>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vertAlign val="superscript"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b/>
      <i/>
      <sz val="14"/>
      <color theme="1"/>
      <name val="Tahoma"/>
      <family val="2"/>
    </font>
    <font>
      <i/>
      <sz val="10"/>
      <color theme="1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4" fillId="0" borderId="0" xfId="1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3" fillId="0" borderId="0" xfId="1" applyFont="1"/>
    <xf numFmtId="0" fontId="3" fillId="0" borderId="5" xfId="1" applyFont="1" applyBorder="1" applyAlignment="1">
      <alignment vertical="center" wrapText="1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5" fillId="0" borderId="0" xfId="1" applyFont="1" applyAlignment="1">
      <alignment horizontal="center"/>
    </xf>
    <xf numFmtId="0" fontId="3" fillId="0" borderId="0" xfId="1" applyFont="1" applyAlignment="1">
      <alignment vertical="center"/>
    </xf>
    <xf numFmtId="0" fontId="1" fillId="0" borderId="0" xfId="1"/>
    <xf numFmtId="0" fontId="3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 wrapText="1"/>
    </xf>
    <xf numFmtId="0" fontId="3" fillId="0" borderId="9" xfId="1" quotePrefix="1" applyFont="1" applyBorder="1" applyAlignment="1">
      <alignment horizontal="left" vertical="center" wrapText="1"/>
    </xf>
    <xf numFmtId="49" fontId="3" fillId="0" borderId="9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wrapText="1"/>
    </xf>
    <xf numFmtId="0" fontId="3" fillId="0" borderId="13" xfId="1" applyFont="1" applyBorder="1" applyAlignment="1">
      <alignment horizontal="left" vertical="center" wrapText="1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>
      <alignment horizontal="center" wrapText="1"/>
    </xf>
    <xf numFmtId="0" fontId="3" fillId="0" borderId="14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center" wrapText="1"/>
    </xf>
    <xf numFmtId="0" fontId="3" fillId="0" borderId="19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3" fillId="0" borderId="4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/>
    </xf>
  </cellXfs>
  <cellStyles count="2">
    <cellStyle name="Normal" xfId="0" builtinId="0"/>
    <cellStyle name="Normal 2" xfId="1" xr:uid="{26A3CA7A-E6E1-4D66-B846-3D4E7ACEA793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122459</xdr:colOff>
      <xdr:row>0</xdr:row>
      <xdr:rowOff>40821</xdr:rowOff>
    </xdr:from>
    <xdr:to>
      <xdr:col>21</xdr:col>
      <xdr:colOff>1345204</xdr:colOff>
      <xdr:row>3</xdr:row>
      <xdr:rowOff>116198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3E4A1025-5ED5-4F01-807F-B5170FC2A9D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02609" y="40821"/>
          <a:ext cx="1222745" cy="6087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E45-2829-4076-B83A-8901C36F2308}">
  <sheetPr>
    <pageSetUpPr fitToPage="1"/>
  </sheetPr>
  <dimension ref="A1:Z56"/>
  <sheetViews>
    <sheetView tabSelected="1" view="pageBreakPreview" zoomScale="70" zoomScaleNormal="70" zoomScaleSheetLayoutView="70" workbookViewId="0">
      <pane ySplit="11" topLeftCell="A12" activePane="bottomLeft" state="frozen"/>
      <selection pane="bottomLeft" activeCell="R13" sqref="R13"/>
    </sheetView>
  </sheetViews>
  <sheetFormatPr defaultColWidth="9.140625" defaultRowHeight="14.25" x14ac:dyDescent="0.2"/>
  <cols>
    <col min="1" max="1" width="5.140625" style="3" bestFit="1" customWidth="1"/>
    <col min="2" max="2" width="20.85546875" style="3" customWidth="1"/>
    <col min="3" max="3" width="1.7109375" style="3" bestFit="1" customWidth="1"/>
    <col min="4" max="4" width="22" style="3" customWidth="1"/>
    <col min="5" max="5" width="22.42578125" style="3" customWidth="1"/>
    <col min="6" max="6" width="8.7109375" style="3" customWidth="1"/>
    <col min="7" max="7" width="18.7109375" style="3" customWidth="1"/>
    <col min="8" max="10" width="8.7109375" style="3" customWidth="1"/>
    <col min="11" max="11" width="13" style="3" customWidth="1"/>
    <col min="12" max="12" width="18.42578125" style="3" customWidth="1"/>
    <col min="13" max="13" width="20.85546875" style="3" bestFit="1" customWidth="1"/>
    <col min="14" max="16" width="15.7109375" style="3" customWidth="1"/>
    <col min="17" max="20" width="8.7109375" style="3" customWidth="1"/>
    <col min="21" max="21" width="11.42578125" style="3" bestFit="1" customWidth="1"/>
    <col min="22" max="22" width="21.42578125" style="4" customWidth="1"/>
    <col min="23" max="26" width="9.140625" style="4"/>
    <col min="27" max="16384" width="9.140625" style="3"/>
  </cols>
  <sheetData>
    <row r="1" spans="1:26" x14ac:dyDescent="0.2">
      <c r="A1" s="53" t="s">
        <v>0</v>
      </c>
      <c r="B1" s="54"/>
      <c r="C1" s="1"/>
      <c r="D1" s="1"/>
      <c r="E1" s="2"/>
    </row>
    <row r="2" spans="1:26" x14ac:dyDescent="0.2">
      <c r="A2" s="55" t="s">
        <v>1</v>
      </c>
      <c r="B2" s="56"/>
      <c r="C2" s="5" t="s">
        <v>2</v>
      </c>
      <c r="D2" s="6"/>
      <c r="E2" s="7"/>
    </row>
    <row r="3" spans="1:26" x14ac:dyDescent="0.2">
      <c r="A3" s="55" t="s">
        <v>3</v>
      </c>
      <c r="B3" s="56"/>
      <c r="C3" s="5" t="s">
        <v>2</v>
      </c>
      <c r="D3" s="5"/>
      <c r="E3" s="7"/>
    </row>
    <row r="4" spans="1:26" ht="15" thickBot="1" x14ac:dyDescent="0.25">
      <c r="A4" s="8"/>
      <c r="B4" s="9"/>
      <c r="C4" s="9"/>
      <c r="D4" s="9"/>
      <c r="E4" s="10"/>
    </row>
    <row r="5" spans="1:26" ht="18" x14ac:dyDescent="0.25">
      <c r="A5" s="57" t="s">
        <v>4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11"/>
    </row>
    <row r="7" spans="1:26" x14ac:dyDescent="0.2">
      <c r="A7" s="56" t="s">
        <v>5</v>
      </c>
      <c r="B7" s="56"/>
      <c r="C7" s="12" t="s">
        <v>2</v>
      </c>
    </row>
    <row r="8" spans="1:26" ht="15" x14ac:dyDescent="0.25">
      <c r="A8" s="56" t="s">
        <v>6</v>
      </c>
      <c r="B8" s="56"/>
      <c r="C8" s="12" t="s">
        <v>2</v>
      </c>
      <c r="D8" s="13" t="s">
        <v>7</v>
      </c>
    </row>
    <row r="10" spans="1:26" x14ac:dyDescent="0.2">
      <c r="A10" s="51" t="s">
        <v>8</v>
      </c>
      <c r="B10" s="38" t="s">
        <v>9</v>
      </c>
      <c r="C10" s="38"/>
      <c r="D10" s="38" t="s">
        <v>10</v>
      </c>
      <c r="E10" s="38" t="s">
        <v>11</v>
      </c>
      <c r="F10" s="51" t="s">
        <v>12</v>
      </c>
      <c r="G10" s="38" t="s">
        <v>13</v>
      </c>
      <c r="H10" s="51" t="s">
        <v>14</v>
      </c>
      <c r="I10" s="51" t="s">
        <v>15</v>
      </c>
      <c r="J10" s="51" t="s">
        <v>16</v>
      </c>
      <c r="K10" s="38" t="s">
        <v>17</v>
      </c>
      <c r="L10" s="38" t="s">
        <v>18</v>
      </c>
      <c r="M10" s="38" t="s">
        <v>19</v>
      </c>
      <c r="N10" s="38" t="s">
        <v>20</v>
      </c>
      <c r="O10" s="38" t="s">
        <v>21</v>
      </c>
      <c r="P10" s="38" t="s">
        <v>22</v>
      </c>
      <c r="Q10" s="39" t="s">
        <v>23</v>
      </c>
      <c r="R10" s="40"/>
      <c r="S10" s="40"/>
      <c r="T10" s="40"/>
      <c r="U10" s="41"/>
      <c r="V10" s="42" t="s">
        <v>24</v>
      </c>
    </row>
    <row r="11" spans="1:26" ht="27.75" customHeight="1" x14ac:dyDescent="0.2">
      <c r="A11" s="36"/>
      <c r="B11" s="52"/>
      <c r="C11" s="52"/>
      <c r="D11" s="52"/>
      <c r="E11" s="52"/>
      <c r="F11" s="36"/>
      <c r="G11" s="52"/>
      <c r="H11" s="36"/>
      <c r="I11" s="36"/>
      <c r="J11" s="36"/>
      <c r="K11" s="52"/>
      <c r="L11" s="52"/>
      <c r="M11" s="52"/>
      <c r="N11" s="38"/>
      <c r="O11" s="38"/>
      <c r="P11" s="38"/>
      <c r="Q11" s="14" t="s">
        <v>12</v>
      </c>
      <c r="R11" s="14" t="s">
        <v>14</v>
      </c>
      <c r="S11" s="14" t="s">
        <v>15</v>
      </c>
      <c r="T11" s="15" t="s">
        <v>25</v>
      </c>
      <c r="U11" s="15" t="s">
        <v>26</v>
      </c>
      <c r="V11" s="42"/>
    </row>
    <row r="12" spans="1:26" ht="79.5" customHeight="1" x14ac:dyDescent="0.2">
      <c r="A12" s="16"/>
      <c r="B12" s="43" t="s">
        <v>27</v>
      </c>
      <c r="C12" s="44"/>
      <c r="D12" s="17" t="s">
        <v>28</v>
      </c>
      <c r="E12" s="17" t="s">
        <v>29</v>
      </c>
      <c r="F12" s="18">
        <v>3</v>
      </c>
      <c r="G12" s="18" t="s">
        <v>30</v>
      </c>
      <c r="H12" s="18">
        <v>3</v>
      </c>
      <c r="I12" s="18">
        <v>4</v>
      </c>
      <c r="J12" s="19">
        <f>F12*H12*I12</f>
        <v>36</v>
      </c>
      <c r="K12" s="14" t="str">
        <f>IF(F12*H12&lt;=4,"Minor",IF(F12*H12&lt;13,"Major","Critical"))</f>
        <v>Major</v>
      </c>
      <c r="L12" s="17" t="s">
        <v>31</v>
      </c>
      <c r="M12" s="17" t="s">
        <v>32</v>
      </c>
      <c r="N12" s="14" t="s">
        <v>33</v>
      </c>
      <c r="O12" s="14"/>
      <c r="P12" s="14"/>
      <c r="Q12" s="14"/>
      <c r="R12" s="14"/>
      <c r="S12" s="14"/>
      <c r="T12" s="15"/>
      <c r="U12" s="15"/>
      <c r="V12" s="20"/>
    </row>
    <row r="13" spans="1:26" ht="79.5" customHeight="1" x14ac:dyDescent="0.2">
      <c r="A13" s="16"/>
      <c r="B13" s="45"/>
      <c r="C13" s="46"/>
      <c r="D13" s="26" t="s">
        <v>29</v>
      </c>
      <c r="E13" s="26" t="s">
        <v>80</v>
      </c>
      <c r="F13" s="18">
        <v>3</v>
      </c>
      <c r="G13" s="18" t="s">
        <v>30</v>
      </c>
      <c r="H13" s="18">
        <v>3</v>
      </c>
      <c r="I13" s="18">
        <v>1</v>
      </c>
      <c r="J13" s="19">
        <f>F13*H13*I13</f>
        <v>9</v>
      </c>
      <c r="K13" s="14" t="str">
        <f>IF(F13*H13&lt;=4,"Minor",IF(F13*H13&lt;13,"Major","Critical"))</f>
        <v>Major</v>
      </c>
      <c r="L13" s="26" t="s">
        <v>31</v>
      </c>
      <c r="M13" s="26" t="s">
        <v>37</v>
      </c>
      <c r="N13" s="14" t="s">
        <v>33</v>
      </c>
      <c r="O13" s="14"/>
      <c r="P13" s="14"/>
      <c r="Q13" s="14"/>
      <c r="R13" s="14"/>
      <c r="S13" s="14"/>
      <c r="T13" s="15"/>
      <c r="U13" s="15"/>
      <c r="V13" s="20"/>
    </row>
    <row r="14" spans="1:26" ht="79.5" customHeight="1" x14ac:dyDescent="0.2">
      <c r="A14" s="16"/>
      <c r="B14" s="45"/>
      <c r="C14" s="46"/>
      <c r="D14" s="17" t="s">
        <v>34</v>
      </c>
      <c r="E14" s="21" t="s">
        <v>35</v>
      </c>
      <c r="F14" s="18">
        <v>4</v>
      </c>
      <c r="G14" s="18" t="s">
        <v>36</v>
      </c>
      <c r="H14" s="18">
        <v>2</v>
      </c>
      <c r="I14" s="18">
        <v>2</v>
      </c>
      <c r="J14" s="19">
        <f>F14*H14*I14</f>
        <v>16</v>
      </c>
      <c r="K14" s="14" t="str">
        <f>IF(F14*H14&lt;=4,"Minor",IF(F14*H14&lt;13,"Major","Critical"))</f>
        <v>Major</v>
      </c>
      <c r="L14" s="17" t="s">
        <v>31</v>
      </c>
      <c r="M14" s="17" t="s">
        <v>37</v>
      </c>
      <c r="N14" s="14" t="s">
        <v>33</v>
      </c>
      <c r="O14" s="14"/>
      <c r="P14" s="14"/>
      <c r="Q14" s="14"/>
      <c r="R14" s="14"/>
      <c r="S14" s="14"/>
      <c r="T14" s="15"/>
      <c r="U14" s="15"/>
      <c r="V14" s="20"/>
    </row>
    <row r="15" spans="1:26" s="25" customFormat="1" ht="91.5" customHeight="1" x14ac:dyDescent="0.2">
      <c r="A15" s="33"/>
      <c r="B15" s="45"/>
      <c r="C15" s="46"/>
      <c r="D15" s="21" t="s">
        <v>38</v>
      </c>
      <c r="E15" s="21" t="s">
        <v>39</v>
      </c>
      <c r="F15" s="14">
        <v>3</v>
      </c>
      <c r="G15" s="21" t="s">
        <v>40</v>
      </c>
      <c r="H15" s="14">
        <v>2</v>
      </c>
      <c r="I15" s="14">
        <v>3</v>
      </c>
      <c r="J15" s="19">
        <f>F15*H15*I15</f>
        <v>18</v>
      </c>
      <c r="K15" s="14" t="str">
        <f t="shared" ref="K15:K21" si="0">IF(F15*H15&lt;=4,"Minor",IF(F15*H15&lt;13,"Major","Critical"))</f>
        <v>Major</v>
      </c>
      <c r="L15" s="21" t="s">
        <v>31</v>
      </c>
      <c r="M15" s="22" t="s">
        <v>41</v>
      </c>
      <c r="N15" s="14" t="s">
        <v>33</v>
      </c>
      <c r="O15" s="23" t="s">
        <v>42</v>
      </c>
      <c r="P15" s="14"/>
      <c r="Q15" s="14"/>
      <c r="R15" s="14"/>
      <c r="S15" s="14"/>
      <c r="T15" s="14"/>
      <c r="U15" s="14"/>
      <c r="V15" s="14"/>
      <c r="W15" s="24"/>
      <c r="X15" s="24"/>
      <c r="Y15" s="24"/>
      <c r="Z15" s="24"/>
    </row>
    <row r="16" spans="1:26" s="25" customFormat="1" ht="105.75" customHeight="1" x14ac:dyDescent="0.2">
      <c r="A16" s="33"/>
      <c r="B16" s="45"/>
      <c r="C16" s="46"/>
      <c r="D16" s="21" t="s">
        <v>43</v>
      </c>
      <c r="E16" s="21" t="s">
        <v>44</v>
      </c>
      <c r="F16" s="14">
        <v>3</v>
      </c>
      <c r="G16" s="21" t="s">
        <v>45</v>
      </c>
      <c r="H16" s="14">
        <v>3</v>
      </c>
      <c r="I16" s="14">
        <v>1</v>
      </c>
      <c r="J16" s="19">
        <f>F16*H16*I16</f>
        <v>9</v>
      </c>
      <c r="K16" s="14" t="str">
        <f t="shared" si="0"/>
        <v>Major</v>
      </c>
      <c r="L16" s="21" t="s">
        <v>46</v>
      </c>
      <c r="M16" s="21" t="s">
        <v>47</v>
      </c>
      <c r="N16" s="14" t="s">
        <v>48</v>
      </c>
      <c r="O16" s="23" t="s">
        <v>49</v>
      </c>
      <c r="P16" s="14"/>
      <c r="Q16" s="14"/>
      <c r="R16" s="14"/>
      <c r="S16" s="14"/>
      <c r="T16" s="14"/>
      <c r="U16" s="14"/>
      <c r="V16" s="14"/>
      <c r="W16" s="24"/>
      <c r="X16" s="24"/>
      <c r="Y16" s="24"/>
      <c r="Z16" s="24"/>
    </row>
    <row r="17" spans="1:26" s="25" customFormat="1" ht="91.5" customHeight="1" x14ac:dyDescent="0.2">
      <c r="A17" s="33"/>
      <c r="B17" s="45"/>
      <c r="C17" s="46"/>
      <c r="D17" s="21" t="s">
        <v>50</v>
      </c>
      <c r="E17" s="21" t="s">
        <v>51</v>
      </c>
      <c r="F17" s="14">
        <v>3</v>
      </c>
      <c r="G17" s="21" t="s">
        <v>52</v>
      </c>
      <c r="H17" s="14">
        <v>1</v>
      </c>
      <c r="I17" s="14">
        <v>1</v>
      </c>
      <c r="J17" s="19">
        <v>3</v>
      </c>
      <c r="K17" s="14" t="str">
        <f t="shared" si="0"/>
        <v>Minor</v>
      </c>
      <c r="L17" s="21" t="s">
        <v>53</v>
      </c>
      <c r="M17" s="22" t="s">
        <v>54</v>
      </c>
      <c r="N17" s="14" t="s">
        <v>33</v>
      </c>
      <c r="O17" s="23" t="s">
        <v>42</v>
      </c>
      <c r="P17" s="14"/>
      <c r="Q17" s="14"/>
      <c r="R17" s="14"/>
      <c r="S17" s="14"/>
      <c r="T17" s="14"/>
      <c r="U17" s="14"/>
      <c r="V17" s="14"/>
      <c r="W17" s="24"/>
      <c r="X17" s="24"/>
      <c r="Y17" s="24"/>
      <c r="Z17" s="24"/>
    </row>
    <row r="18" spans="1:26" s="25" customFormat="1" ht="107.25" customHeight="1" x14ac:dyDescent="0.2">
      <c r="A18" s="33"/>
      <c r="B18" s="45"/>
      <c r="C18" s="46"/>
      <c r="D18" s="21" t="s">
        <v>55</v>
      </c>
      <c r="E18" s="21" t="s">
        <v>56</v>
      </c>
      <c r="F18" s="14">
        <v>3</v>
      </c>
      <c r="G18" s="21" t="s">
        <v>57</v>
      </c>
      <c r="H18" s="14">
        <v>2</v>
      </c>
      <c r="I18" s="14">
        <v>1</v>
      </c>
      <c r="J18" s="19">
        <v>9</v>
      </c>
      <c r="K18" s="14" t="str">
        <f t="shared" si="0"/>
        <v>Major</v>
      </c>
      <c r="L18" s="21" t="s">
        <v>58</v>
      </c>
      <c r="M18" s="22" t="s">
        <v>59</v>
      </c>
      <c r="N18" s="14" t="s">
        <v>60</v>
      </c>
      <c r="O18" s="23" t="s">
        <v>42</v>
      </c>
      <c r="P18" s="14"/>
      <c r="Q18" s="14"/>
      <c r="R18" s="14"/>
      <c r="S18" s="14"/>
      <c r="T18" s="14"/>
      <c r="U18" s="14"/>
      <c r="V18" s="14"/>
      <c r="W18" s="24"/>
      <c r="X18" s="24"/>
      <c r="Y18" s="24"/>
      <c r="Z18" s="24"/>
    </row>
    <row r="19" spans="1:26" s="25" customFormat="1" ht="118.5" customHeight="1" x14ac:dyDescent="0.2">
      <c r="A19" s="33"/>
      <c r="B19" s="45"/>
      <c r="C19" s="46"/>
      <c r="D19" s="34" t="s">
        <v>61</v>
      </c>
      <c r="E19" s="34" t="s">
        <v>62</v>
      </c>
      <c r="F19" s="36">
        <v>3</v>
      </c>
      <c r="G19" s="34" t="s">
        <v>63</v>
      </c>
      <c r="H19" s="36">
        <v>3</v>
      </c>
      <c r="I19" s="36">
        <v>1</v>
      </c>
      <c r="J19" s="49">
        <v>9</v>
      </c>
      <c r="K19" s="36" t="str">
        <f t="shared" si="0"/>
        <v>Major</v>
      </c>
      <c r="L19" s="34" t="s">
        <v>31</v>
      </c>
      <c r="M19" s="22" t="s">
        <v>64</v>
      </c>
      <c r="N19" s="14" t="s">
        <v>65</v>
      </c>
      <c r="O19" s="23" t="s">
        <v>66</v>
      </c>
      <c r="P19" s="14"/>
      <c r="Q19" s="14"/>
      <c r="R19" s="14"/>
      <c r="S19" s="14"/>
      <c r="T19" s="14"/>
      <c r="U19" s="14"/>
      <c r="V19" s="14"/>
      <c r="W19" s="24"/>
      <c r="X19" s="24"/>
      <c r="Y19" s="24"/>
      <c r="Z19" s="24"/>
    </row>
    <row r="20" spans="1:26" s="25" customFormat="1" ht="118.5" customHeight="1" x14ac:dyDescent="0.2">
      <c r="A20" s="33"/>
      <c r="B20" s="45"/>
      <c r="C20" s="46"/>
      <c r="D20" s="35"/>
      <c r="E20" s="35"/>
      <c r="F20" s="37"/>
      <c r="G20" s="35"/>
      <c r="H20" s="37"/>
      <c r="I20" s="37"/>
      <c r="J20" s="50"/>
      <c r="K20" s="37"/>
      <c r="L20" s="35"/>
      <c r="M20" s="22" t="s">
        <v>67</v>
      </c>
      <c r="N20" s="14" t="s">
        <v>65</v>
      </c>
      <c r="O20" s="23" t="s">
        <v>68</v>
      </c>
      <c r="P20" s="14"/>
      <c r="Q20" s="14"/>
      <c r="R20" s="14"/>
      <c r="S20" s="14"/>
      <c r="T20" s="14"/>
      <c r="U20" s="14"/>
      <c r="V20" s="14"/>
      <c r="W20" s="24"/>
      <c r="X20" s="24"/>
      <c r="Y20" s="24"/>
      <c r="Z20" s="24"/>
    </row>
    <row r="21" spans="1:26" s="25" customFormat="1" ht="135" customHeight="1" x14ac:dyDescent="0.2">
      <c r="A21" s="33"/>
      <c r="B21" s="47"/>
      <c r="C21" s="48"/>
      <c r="D21" s="21" t="s">
        <v>69</v>
      </c>
      <c r="E21" s="21" t="s">
        <v>70</v>
      </c>
      <c r="F21" s="14">
        <v>2</v>
      </c>
      <c r="G21" s="21" t="s">
        <v>71</v>
      </c>
      <c r="H21" s="14">
        <v>4</v>
      </c>
      <c r="I21" s="14">
        <v>4</v>
      </c>
      <c r="J21" s="19">
        <f>F21*H21*I21</f>
        <v>32</v>
      </c>
      <c r="K21" s="14" t="str">
        <f t="shared" si="0"/>
        <v>Major</v>
      </c>
      <c r="L21" s="21" t="s">
        <v>31</v>
      </c>
      <c r="M21" s="21" t="s">
        <v>72</v>
      </c>
      <c r="N21" s="14" t="s">
        <v>73</v>
      </c>
      <c r="O21" s="23" t="s">
        <v>66</v>
      </c>
      <c r="P21" s="14"/>
      <c r="Q21" s="14"/>
      <c r="R21" s="14"/>
      <c r="S21" s="14"/>
      <c r="T21" s="14"/>
      <c r="U21" s="14"/>
      <c r="V21" s="14"/>
      <c r="W21" s="24"/>
      <c r="X21" s="24"/>
      <c r="Y21" s="24"/>
      <c r="Z21" s="24"/>
    </row>
    <row r="22" spans="1:26" ht="99.95" customHeight="1" x14ac:dyDescent="0.2">
      <c r="B22" s="30" t="s">
        <v>74</v>
      </c>
      <c r="C22" s="30"/>
      <c r="D22" s="30"/>
      <c r="E22" s="30"/>
      <c r="F22" s="30"/>
      <c r="G22" s="30"/>
      <c r="H22" s="30"/>
      <c r="I22" s="30"/>
    </row>
    <row r="23" spans="1:26" ht="26.25" customHeight="1" x14ac:dyDescent="0.2">
      <c r="B23" s="31" t="s">
        <v>75</v>
      </c>
      <c r="C23" s="31"/>
      <c r="D23" s="31"/>
      <c r="J23" s="31" t="s">
        <v>76</v>
      </c>
      <c r="K23" s="31"/>
      <c r="L23" s="31"/>
      <c r="O23" s="27"/>
      <c r="P23" s="27"/>
      <c r="R23" s="31" t="s">
        <v>77</v>
      </c>
      <c r="S23" s="31"/>
      <c r="T23" s="31"/>
      <c r="U23" s="31"/>
      <c r="V23" s="31"/>
      <c r="W23" s="3"/>
      <c r="X23" s="3"/>
      <c r="Y23" s="3"/>
      <c r="Z23" s="3"/>
    </row>
    <row r="24" spans="1:26" ht="75" customHeight="1" x14ac:dyDescent="0.2">
      <c r="B24" s="32" t="s">
        <v>78</v>
      </c>
      <c r="C24" s="32"/>
      <c r="D24" s="32"/>
      <c r="I24" s="28"/>
      <c r="J24" s="32" t="s">
        <v>79</v>
      </c>
      <c r="K24" s="32"/>
      <c r="L24" s="32"/>
      <c r="O24" s="28"/>
      <c r="P24" s="28"/>
      <c r="Q24" s="28"/>
      <c r="R24" s="32" t="s">
        <v>79</v>
      </c>
      <c r="S24" s="32"/>
      <c r="T24" s="32"/>
      <c r="U24" s="32"/>
      <c r="V24" s="32"/>
      <c r="W24" s="3"/>
      <c r="X24" s="3"/>
      <c r="Y24" s="3"/>
      <c r="Z24" s="3"/>
    </row>
    <row r="25" spans="1:26" ht="60" customHeight="1" x14ac:dyDescent="0.2">
      <c r="B25" s="29"/>
      <c r="C25" s="29"/>
    </row>
    <row r="26" spans="1:26" ht="60" customHeight="1" x14ac:dyDescent="0.2">
      <c r="B26" s="29"/>
      <c r="C26" s="29"/>
    </row>
    <row r="27" spans="1:26" ht="60" customHeight="1" x14ac:dyDescent="0.2">
      <c r="B27" s="29"/>
      <c r="C27" s="29"/>
    </row>
    <row r="28" spans="1:26" ht="60" customHeight="1" x14ac:dyDescent="0.2">
      <c r="B28" s="29"/>
      <c r="C28" s="29"/>
    </row>
    <row r="29" spans="1:26" ht="60" customHeight="1" x14ac:dyDescent="0.2">
      <c r="B29" s="29"/>
      <c r="C29" s="29"/>
    </row>
    <row r="30" spans="1:26" ht="60" customHeight="1" x14ac:dyDescent="0.2">
      <c r="B30" s="29"/>
      <c r="C30" s="29"/>
    </row>
    <row r="31" spans="1:26" ht="60" customHeight="1" x14ac:dyDescent="0.2">
      <c r="B31" s="29"/>
      <c r="C31" s="29"/>
    </row>
    <row r="32" spans="1:26" ht="60" customHeight="1" x14ac:dyDescent="0.2">
      <c r="B32" s="29"/>
      <c r="C32" s="29"/>
    </row>
    <row r="33" spans="2:3" ht="60" customHeight="1" x14ac:dyDescent="0.2">
      <c r="B33" s="29"/>
      <c r="C33" s="29"/>
    </row>
    <row r="34" spans="2:3" ht="60" customHeight="1" x14ac:dyDescent="0.2">
      <c r="B34" s="29"/>
      <c r="C34" s="29"/>
    </row>
    <row r="35" spans="2:3" ht="60" customHeight="1" x14ac:dyDescent="0.2">
      <c r="B35" s="29"/>
      <c r="C35" s="29"/>
    </row>
    <row r="36" spans="2:3" ht="60" customHeight="1" x14ac:dyDescent="0.2">
      <c r="B36" s="29"/>
      <c r="C36" s="29"/>
    </row>
    <row r="37" spans="2:3" ht="60" customHeight="1" x14ac:dyDescent="0.2">
      <c r="B37" s="29"/>
      <c r="C37" s="29"/>
    </row>
    <row r="38" spans="2:3" ht="60" customHeight="1" x14ac:dyDescent="0.2">
      <c r="B38" s="29"/>
      <c r="C38" s="29"/>
    </row>
    <row r="39" spans="2:3" ht="60" customHeight="1" x14ac:dyDescent="0.2">
      <c r="B39" s="29"/>
      <c r="C39" s="29"/>
    </row>
    <row r="40" spans="2:3" ht="60" customHeight="1" x14ac:dyDescent="0.2">
      <c r="B40" s="29"/>
      <c r="C40" s="29"/>
    </row>
    <row r="41" spans="2:3" ht="60" customHeight="1" x14ac:dyDescent="0.2">
      <c r="B41" s="29"/>
      <c r="C41" s="29"/>
    </row>
    <row r="42" spans="2:3" ht="60" customHeight="1" x14ac:dyDescent="0.2">
      <c r="B42" s="29"/>
      <c r="C42" s="29"/>
    </row>
    <row r="43" spans="2:3" ht="60" customHeight="1" x14ac:dyDescent="0.2">
      <c r="B43" s="29"/>
      <c r="C43" s="29"/>
    </row>
    <row r="44" spans="2:3" ht="60" customHeight="1" x14ac:dyDescent="0.2">
      <c r="B44" s="29"/>
      <c r="C44" s="29"/>
    </row>
    <row r="45" spans="2:3" ht="60" customHeight="1" x14ac:dyDescent="0.2">
      <c r="B45" s="29"/>
      <c r="C45" s="29"/>
    </row>
    <row r="46" spans="2:3" ht="60" customHeight="1" x14ac:dyDescent="0.2">
      <c r="B46" s="29"/>
      <c r="C46" s="29"/>
    </row>
    <row r="47" spans="2:3" ht="60" customHeight="1" x14ac:dyDescent="0.2">
      <c r="B47" s="29"/>
      <c r="C47" s="29"/>
    </row>
    <row r="48" spans="2:3" ht="60" customHeight="1" x14ac:dyDescent="0.2">
      <c r="B48" s="29"/>
      <c r="C48" s="29"/>
    </row>
    <row r="49" spans="2:3" ht="60" customHeight="1" x14ac:dyDescent="0.2">
      <c r="B49" s="29"/>
      <c r="C49" s="29"/>
    </row>
    <row r="50" spans="2:3" ht="60" customHeight="1" x14ac:dyDescent="0.2">
      <c r="B50" s="29"/>
      <c r="C50" s="29"/>
    </row>
    <row r="51" spans="2:3" ht="60" customHeight="1" x14ac:dyDescent="0.2">
      <c r="B51" s="29"/>
      <c r="C51" s="29"/>
    </row>
    <row r="52" spans="2:3" ht="60" customHeight="1" x14ac:dyDescent="0.2">
      <c r="B52" s="29"/>
      <c r="C52" s="29"/>
    </row>
    <row r="53" spans="2:3" ht="60" customHeight="1" x14ac:dyDescent="0.2">
      <c r="B53" s="29"/>
      <c r="C53" s="29"/>
    </row>
    <row r="54" spans="2:3" ht="60" customHeight="1" x14ac:dyDescent="0.2">
      <c r="B54" s="29"/>
      <c r="C54" s="29"/>
    </row>
    <row r="55" spans="2:3" ht="60" customHeight="1" x14ac:dyDescent="0.2">
      <c r="B55" s="29"/>
      <c r="C55" s="29"/>
    </row>
    <row r="56" spans="2:3" ht="60" customHeight="1" x14ac:dyDescent="0.2">
      <c r="B56" s="29"/>
      <c r="C56" s="29"/>
    </row>
  </sheetData>
  <mergeCells count="73">
    <mergeCell ref="A8:B8"/>
    <mergeCell ref="A1:B1"/>
    <mergeCell ref="A2:B2"/>
    <mergeCell ref="A3:B3"/>
    <mergeCell ref="A5:T5"/>
    <mergeCell ref="A7:B7"/>
    <mergeCell ref="A10:A11"/>
    <mergeCell ref="B10:C11"/>
    <mergeCell ref="D10:D11"/>
    <mergeCell ref="E10:E11"/>
    <mergeCell ref="F10:F11"/>
    <mergeCell ref="V10:V11"/>
    <mergeCell ref="B12:C21"/>
    <mergeCell ref="I19:I20"/>
    <mergeCell ref="J19:J20"/>
    <mergeCell ref="K19:K20"/>
    <mergeCell ref="L19:L20"/>
    <mergeCell ref="H10:H11"/>
    <mergeCell ref="I10:I11"/>
    <mergeCell ref="J10:J11"/>
    <mergeCell ref="K10:K11"/>
    <mergeCell ref="L10:L11"/>
    <mergeCell ref="M10:M11"/>
    <mergeCell ref="G10:G11"/>
    <mergeCell ref="H19:H20"/>
    <mergeCell ref="N10:N11"/>
    <mergeCell ref="O10:O11"/>
    <mergeCell ref="P10:P11"/>
    <mergeCell ref="Q10:U10"/>
    <mergeCell ref="A15:A21"/>
    <mergeCell ref="D19:D20"/>
    <mergeCell ref="E19:E20"/>
    <mergeCell ref="F19:F20"/>
    <mergeCell ref="G19:G20"/>
    <mergeCell ref="B22:I22"/>
    <mergeCell ref="B23:D23"/>
    <mergeCell ref="J23:L23"/>
    <mergeCell ref="R23:V23"/>
    <mergeCell ref="B24:D24"/>
    <mergeCell ref="J24:L24"/>
    <mergeCell ref="R24:V24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5:C55"/>
    <mergeCell ref="B56:C56"/>
    <mergeCell ref="B49:C49"/>
    <mergeCell ref="B50:C50"/>
    <mergeCell ref="B51:C51"/>
    <mergeCell ref="B52:C52"/>
    <mergeCell ref="B53:C53"/>
    <mergeCell ref="B54:C54"/>
  </mergeCells>
  <conditionalFormatting sqref="O15 O18:O21">
    <cfRule type="cellIs" dxfId="2" priority="3" operator="equal">
      <formula>"diisi"</formula>
    </cfRule>
  </conditionalFormatting>
  <conditionalFormatting sqref="O17">
    <cfRule type="cellIs" dxfId="1" priority="2" operator="equal">
      <formula>"diisi"</formula>
    </cfRule>
  </conditionalFormatting>
  <conditionalFormatting sqref="O16">
    <cfRule type="cellIs" dxfId="0" priority="1" operator="equal">
      <formula>"diisi"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landscape" horizontalDpi="360" verticalDpi="360" r:id="rId1"/>
  <headerFooter>
    <oddFooter>&amp;R&amp;"Tahoma,Italic"&amp;12Page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Ketoprofen</vt:lpstr>
      <vt:lpstr>Ketoprofen!Print_Area</vt:lpstr>
      <vt:lpstr>Ketoprofen!Print_Titles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bile</dc:creator>
  <cp:lastModifiedBy>KF_User111</cp:lastModifiedBy>
  <dcterms:created xsi:type="dcterms:W3CDTF">2021-10-25T06:38:54Z</dcterms:created>
  <dcterms:modified xsi:type="dcterms:W3CDTF">2021-10-25T08:17:20Z</dcterms:modified>
</cp:coreProperties>
</file>