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HERBAL\KAJIAN RESIKO\"/>
    </mc:Choice>
  </mc:AlternateContent>
  <bookViews>
    <workbookView xWindow="0" yWindow="0" windowWidth="20490" windowHeight="7620"/>
  </bookViews>
  <sheets>
    <sheet name="Sheet1" sheetId="1" r:id="rId1"/>
  </sheets>
  <definedNames>
    <definedName name="_xlnm.Print_Titles" localSheetId="0">Sheet1!$10:$11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4" i="1" l="1"/>
  <c r="J14" i="1"/>
  <c r="J22" i="1" l="1"/>
  <c r="K22" i="1"/>
  <c r="K17" i="1"/>
  <c r="J17" i="1"/>
  <c r="K13" i="1"/>
  <c r="J13" i="1"/>
  <c r="K12" i="1"/>
  <c r="J12" i="1"/>
  <c r="K15" i="1"/>
  <c r="J15" i="1"/>
  <c r="K20" i="1"/>
  <c r="J20" i="1"/>
  <c r="J16" i="1" l="1"/>
  <c r="J18" i="1"/>
  <c r="K16" i="1"/>
  <c r="K18" i="1"/>
  <c r="K19" i="1"/>
  <c r="J19" i="1" l="1"/>
  <c r="K21" i="1" l="1"/>
  <c r="J21" i="1"/>
</calcChain>
</file>

<file path=xl/sharedStrings.xml><?xml version="1.0" encoding="utf-8"?>
<sst xmlns="http://schemas.openxmlformats.org/spreadsheetml/2006/main" count="108" uniqueCount="91">
  <si>
    <t>No. Dokumen</t>
  </si>
  <si>
    <t>Tanggal Berlaku</t>
  </si>
  <si>
    <t>:</t>
  </si>
  <si>
    <r>
      <t xml:space="preserve">FORMULIR </t>
    </r>
    <r>
      <rPr>
        <b/>
        <i/>
        <sz val="14"/>
        <color theme="1"/>
        <rFont val="Tahoma"/>
        <family val="2"/>
      </rPr>
      <t>FAILURE MODE AND EFFECT ANALYSIS</t>
    </r>
    <r>
      <rPr>
        <b/>
        <sz val="14"/>
        <color theme="1"/>
        <rFont val="Tahoma"/>
        <family val="2"/>
      </rPr>
      <t xml:space="preserve"> (FMEA)</t>
    </r>
  </si>
  <si>
    <t>No. Kajian</t>
  </si>
  <si>
    <t>Ruang lingkup</t>
  </si>
  <si>
    <t>No.</t>
  </si>
  <si>
    <t>Component*</t>
  </si>
  <si>
    <t>Potential Failure Mode</t>
  </si>
  <si>
    <t>Potential Failure Effect</t>
  </si>
  <si>
    <t>S</t>
  </si>
  <si>
    <t>Potential Cause</t>
  </si>
  <si>
    <t>O</t>
  </si>
  <si>
    <t>D</t>
  </si>
  <si>
    <t>RPN</t>
  </si>
  <si>
    <t>Current Process Control</t>
  </si>
  <si>
    <t>Recommended Action</t>
  </si>
  <si>
    <t>Responsibility</t>
  </si>
  <si>
    <t>Target Date</t>
  </si>
  <si>
    <t>After Action Taken</t>
  </si>
  <si>
    <t>Risk Category</t>
  </si>
  <si>
    <t>Lampiran ke-2</t>
  </si>
  <si>
    <t>Action Taken</t>
  </si>
  <si>
    <t>New Target Date</t>
  </si>
  <si>
    <t>Disusun oleh :</t>
  </si>
  <si>
    <t>Diperiksa oleh :</t>
  </si>
  <si>
    <t>Disahkan oleh :</t>
  </si>
  <si>
    <t>(                                                         )</t>
  </si>
  <si>
    <t>F-PQS-03-008-02/02</t>
  </si>
  <si>
    <t>New Risk Category</t>
  </si>
  <si>
    <t>New RPN</t>
  </si>
  <si>
    <t>(                                                )</t>
  </si>
  <si>
    <t>(                                                       )</t>
  </si>
  <si>
    <t xml:space="preserve"> </t>
  </si>
  <si>
    <t>Produksi, Teknik</t>
  </si>
  <si>
    <t>Kontaminasi area produksi</t>
  </si>
  <si>
    <t>Memperpendek umur mesin dan produk yang dihasikan tidak sesuai spesifikasi</t>
  </si>
  <si>
    <t>Produksi</t>
  </si>
  <si>
    <t>Operator cidera, menghambat proses produksi</t>
  </si>
  <si>
    <t>Spesifikasi kondisi ruangan produksi tidak terpenuhi, risiko kontaminasi pada produk</t>
  </si>
  <si>
    <t>Tidak ada</t>
  </si>
  <si>
    <t>Dilakukan kualifikasi sebelum mesin digunakan</t>
  </si>
  <si>
    <t>Teknik</t>
  </si>
  <si>
    <t>Proses produksi terhambat</t>
  </si>
  <si>
    <t>Belum dilakukan pelatihan pengoperasian mesin kepada operator</t>
  </si>
  <si>
    <t>Dilakukan pelatihan pengoperasian kepada operator</t>
  </si>
  <si>
    <t>Terjadi kecelakaan kerja</t>
  </si>
  <si>
    <t>Proses pemindahan menjadi terhenti</t>
  </si>
  <si>
    <t>Personil yang bertugas terjepit mesin atau tertimpa oleh komponen yang terjatuh dari mesin</t>
  </si>
  <si>
    <t>Sudah terdapat APD dan alat bantu pemindahan</t>
  </si>
  <si>
    <t>Personil yang bertugas menggunakan APD lengkap, pemindahan menggunakan alat bantu seperti pallet truck, forklift dan alat lainnya, serta pemindahan dilakukan secara hati-hati</t>
  </si>
  <si>
    <t>Mengganggu proses produksi</t>
  </si>
  <si>
    <t>Saat proses pemindahan oleh teknik didampingi dengan supervisor produksi</t>
  </si>
  <si>
    <t>Dilakukan uji partikel dan/atau  uji mikrobiologi untuk koridor yang dilewati mesin dan ruangan mesin tersebut</t>
  </si>
  <si>
    <t>Produktivitas pengemasan tidak mencapai target</t>
  </si>
  <si>
    <t>Target tidak terpenuhi</t>
  </si>
  <si>
    <t>Temuan saat audit</t>
  </si>
  <si>
    <t>Penamaan ruangan dan fungsinya berbeda</t>
  </si>
  <si>
    <t>Teknik dan K3L</t>
  </si>
  <si>
    <t>Kalibrasi dan Kualifikasi</t>
  </si>
  <si>
    <r>
      <t xml:space="preserve">Keterangan:
* </t>
    </r>
    <r>
      <rPr>
        <i/>
        <sz val="12"/>
        <color theme="1"/>
        <rFont val="Tahoma"/>
        <family val="2"/>
      </rPr>
      <t>component</t>
    </r>
    <r>
      <rPr>
        <sz val="12"/>
        <color theme="1"/>
        <rFont val="Tahoma"/>
        <family val="2"/>
      </rPr>
      <t xml:space="preserve"> dapat berupa sistem, proses, atau produk
S: </t>
    </r>
    <r>
      <rPr>
        <i/>
        <sz val="12"/>
        <color theme="1"/>
        <rFont val="Tahoma"/>
        <family val="2"/>
      </rPr>
      <t>severity</t>
    </r>
    <r>
      <rPr>
        <sz val="12"/>
        <color theme="1"/>
        <rFont val="Tahoma"/>
        <family val="2"/>
      </rPr>
      <t xml:space="preserve">
O: </t>
    </r>
    <r>
      <rPr>
        <i/>
        <sz val="12"/>
        <color theme="1"/>
        <rFont val="Tahoma"/>
        <family val="2"/>
      </rPr>
      <t>occurrence</t>
    </r>
    <r>
      <rPr>
        <sz val="12"/>
        <color theme="1"/>
        <rFont val="Tahoma"/>
        <family val="2"/>
      </rPr>
      <t xml:space="preserve">
D: </t>
    </r>
    <r>
      <rPr>
        <i/>
        <sz val="12"/>
        <color theme="1"/>
        <rFont val="Tahoma"/>
        <family val="2"/>
      </rPr>
      <t>detection</t>
    </r>
    <r>
      <rPr>
        <sz val="12"/>
        <color theme="1"/>
        <rFont val="Tahoma"/>
        <family val="2"/>
      </rPr>
      <t xml:space="preserve">
</t>
    </r>
  </si>
  <si>
    <t>:Penambahan dan Pengoperasian Pass Box</t>
  </si>
  <si>
    <t>Belum memahami alur perpindahan Alat</t>
  </si>
  <si>
    <t>Dibuat alur pemindahan mesin dan diinfokan kepada bagian teknik agar perpindahan Alat menjadi lancar</t>
  </si>
  <si>
    <t>Penambahan Pass Box</t>
  </si>
  <si>
    <t>Penambahan pass Box di Spare Room</t>
  </si>
  <si>
    <t>Dilakukan perubahan nama ruangan, HMI ruangan dan denah dari Spare Room menjadi Material Air Lock</t>
  </si>
  <si>
    <t>Proses pemindahan Alat terlalu lama</t>
  </si>
  <si>
    <t>Proses transfer hasil proses pengemasan primer terhambat ke area sekunder</t>
  </si>
  <si>
    <t>Dilakukan penambahan Pass Box di ruang Spare Room 1722039</t>
  </si>
  <si>
    <t>Epoksi yang melapisi lantai terkelupas pada saat memasukkan Pass Box</t>
  </si>
  <si>
    <t>Pass Box yang dimasukkan berat dan besar</t>
  </si>
  <si>
    <t>Pass Box dimasukkan dengan menggunakan stacker yang memiliki roda, serta lantai ruangan produksi dilapisi dengan plastik sehingga meminimalisir kerusakan epoksi</t>
  </si>
  <si>
    <t>Pass Box yang masuk dalam keadaan kotor</t>
  </si>
  <si>
    <t>Pass box yang dimasukkan berasal dari luar yang kemungkinan besar kontak dengan udara luar</t>
  </si>
  <si>
    <t>Pass Box dimasukkan melalui Material airlock dan telah dibersihkan terlebih dahulu</t>
  </si>
  <si>
    <t>Pengoperasian Pass Boxi</t>
  </si>
  <si>
    <t>Pass Box tidak dapat beroperasi dengan optimal</t>
  </si>
  <si>
    <t>Pass box tidak bisa terbuka atau menutup pada salah satu atau dua belah sisi</t>
  </si>
  <si>
    <t>Pass box merupakan alat baru dan belum dilakukan Kualifikasi</t>
  </si>
  <si>
    <t>Operator tidak bisa mengoperasikan Pass Box dengan baik dan benar</t>
  </si>
  <si>
    <t>Pass Box merupakan mesin baru</t>
  </si>
  <si>
    <t>Instruksi kerja pengoperasian Pass Pox</t>
  </si>
  <si>
    <t>Dilakukan Pembuatan Instruksi Kerja Pengoperasian Pass Box</t>
  </si>
  <si>
    <t>Terjadinya kecelakaan kerja ketika penggunaan Pass Box</t>
  </si>
  <si>
    <t>Resiko kecelakaan kerja yang mungkin terjadi pada pengoperasian Pass Box ditambahkan ke IBPR</t>
  </si>
  <si>
    <t>Dibuat IBPRPass Box</t>
  </si>
  <si>
    <t>Terdapat Kebocoran ruangan</t>
  </si>
  <si>
    <t>Potensi Mikro ruangan</t>
  </si>
  <si>
    <t>Tidak dilakukan Optimalisasi ruangan</t>
  </si>
  <si>
    <t>Dilakukan di ruangan 1722039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</si>
</sst>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1"/>
      <scheme val="minor"/>
    </font>
    <font>
      <sz val="10"/>
      <color theme="1"/>
      <name val="Tahoma"/>
      <family val="2"/>
    </font>
    <font>
      <b/>
      <sz val="14"/>
      <color theme="1"/>
      <name val="Tahoma"/>
      <family val="2"/>
    </font>
    <font>
      <b/>
      <i/>
      <sz val="14"/>
      <color theme="1"/>
      <name val="Tahoma"/>
      <family val="2"/>
    </font>
    <font>
      <i/>
      <sz val="10"/>
      <color theme="1"/>
      <name val="Tahoma"/>
      <family val="2"/>
    </font>
    <font>
      <sz val="8"/>
      <name val="Calibri"/>
      <family val="2"/>
      <charset val="1"/>
      <scheme val="minor"/>
    </font>
    <font>
      <sz val="10"/>
      <color rgb="FFFF0000"/>
      <name val="Tahoma"/>
      <family val="2"/>
    </font>
    <font>
      <sz val="12"/>
      <color theme="1"/>
      <name val="Tahoma"/>
      <family val="2"/>
    </font>
    <font>
      <sz val="12"/>
      <name val="Tahoma"/>
      <family val="2"/>
    </font>
    <font>
      <i/>
      <sz val="12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0" fillId="0" borderId="0" xfId="0" applyAlignment="1"/>
    <xf numFmtId="0" fontId="1" fillId="0" borderId="0" xfId="0" applyFont="1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/>
    <xf numFmtId="0" fontId="0" fillId="0" borderId="0" xfId="0" applyFill="1" applyBorder="1"/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6" fillId="0" borderId="0" xfId="0" applyFont="1"/>
    <xf numFmtId="0" fontId="1" fillId="0" borderId="0" xfId="0" applyFont="1" applyAlignment="1">
      <alignment vertical="center"/>
    </xf>
    <xf numFmtId="0" fontId="0" fillId="0" borderId="0" xfId="0" applyFont="1"/>
    <xf numFmtId="0" fontId="4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7" fillId="0" borderId="0" xfId="0" applyFont="1" applyAlignment="1">
      <alignment vertical="top" wrapText="1"/>
    </xf>
    <xf numFmtId="0" fontId="7" fillId="0" borderId="9" xfId="0" applyFont="1" applyBorder="1" applyAlignment="1">
      <alignment vertical="top" wrapText="1"/>
    </xf>
    <xf numFmtId="0" fontId="8" fillId="0" borderId="9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center" vertical="top" wrapText="1"/>
    </xf>
    <xf numFmtId="15" fontId="7" fillId="0" borderId="9" xfId="0" applyNumberFormat="1" applyFont="1" applyBorder="1" applyAlignment="1">
      <alignment horizontal="center" vertical="top" wrapText="1"/>
    </xf>
    <xf numFmtId="0" fontId="9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/>
    <xf numFmtId="0" fontId="7" fillId="0" borderId="13" xfId="0" applyFont="1" applyBorder="1" applyAlignment="1">
      <alignment horizontal="center" vertical="top" wrapText="1"/>
    </xf>
    <xf numFmtId="0" fontId="7" fillId="0" borderId="13" xfId="0" applyFont="1" applyBorder="1" applyAlignment="1">
      <alignment vertical="top" wrapText="1"/>
    </xf>
    <xf numFmtId="0" fontId="8" fillId="0" borderId="13" xfId="0" applyFont="1" applyBorder="1" applyAlignment="1">
      <alignment vertical="top" wrapText="1"/>
    </xf>
    <xf numFmtId="0" fontId="8" fillId="0" borderId="15" xfId="0" applyFont="1" applyBorder="1" applyAlignment="1">
      <alignment vertical="top" wrapText="1"/>
    </xf>
    <xf numFmtId="0" fontId="7" fillId="0" borderId="9" xfId="0" applyFont="1" applyBorder="1" applyAlignment="1">
      <alignment vertical="center" wrapText="1"/>
    </xf>
    <xf numFmtId="0" fontId="7" fillId="0" borderId="9" xfId="0" applyFont="1" applyBorder="1" applyAlignment="1">
      <alignment horizontal="center" vertical="center"/>
    </xf>
    <xf numFmtId="0" fontId="8" fillId="0" borderId="12" xfId="0" applyFont="1" applyBorder="1" applyAlignment="1">
      <alignment horizontal="left" vertical="top" wrapText="1"/>
    </xf>
    <xf numFmtId="0" fontId="7" fillId="0" borderId="0" xfId="0" applyFont="1" applyFill="1" applyBorder="1"/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Alignment="1">
      <alignment wrapText="1"/>
    </xf>
    <xf numFmtId="0" fontId="7" fillId="0" borderId="16" xfId="0" applyFont="1" applyBorder="1" applyAlignment="1">
      <alignment vertical="top" wrapText="1"/>
    </xf>
    <xf numFmtId="0" fontId="7" fillId="0" borderId="17" xfId="0" applyFont="1" applyBorder="1" applyAlignment="1">
      <alignment vertical="top" wrapText="1"/>
    </xf>
    <xf numFmtId="0" fontId="7" fillId="0" borderId="18" xfId="0" applyFont="1" applyBorder="1" applyAlignment="1">
      <alignment vertical="top" wrapText="1"/>
    </xf>
    <xf numFmtId="0" fontId="7" fillId="0" borderId="19" xfId="0" applyFont="1" applyBorder="1" applyAlignment="1">
      <alignment vertical="top" wrapText="1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vertical="top"/>
    </xf>
    <xf numFmtId="0" fontId="7" fillId="0" borderId="13" xfId="0" applyFont="1" applyBorder="1" applyAlignment="1">
      <alignment horizontal="center" vertical="top"/>
    </xf>
    <xf numFmtId="0" fontId="7" fillId="0" borderId="14" xfId="0" applyFont="1" applyBorder="1" applyAlignment="1">
      <alignment horizontal="center" vertical="top"/>
    </xf>
    <xf numFmtId="0" fontId="7" fillId="0" borderId="15" xfId="0" applyFont="1" applyBorder="1" applyAlignment="1">
      <alignment horizontal="center" vertical="top"/>
    </xf>
    <xf numFmtId="0" fontId="7" fillId="0" borderId="20" xfId="0" applyFont="1" applyBorder="1" applyAlignment="1">
      <alignment vertical="top" wrapText="1"/>
    </xf>
    <xf numFmtId="0" fontId="7" fillId="0" borderId="21" xfId="0" applyFont="1" applyBorder="1" applyAlignment="1">
      <alignment vertical="top" wrapText="1"/>
    </xf>
    <xf numFmtId="0" fontId="8" fillId="0" borderId="15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center" vertical="top" wrapText="1"/>
    </xf>
    <xf numFmtId="0" fontId="7" fillId="0" borderId="15" xfId="0" applyFont="1" applyBorder="1" applyAlignment="1">
      <alignment vertical="top" wrapText="1"/>
    </xf>
    <xf numFmtId="0" fontId="7" fillId="0" borderId="15" xfId="0" applyFont="1" applyBorder="1" applyAlignment="1">
      <alignment vertical="center" wrapText="1"/>
    </xf>
    <xf numFmtId="0" fontId="7" fillId="0" borderId="15" xfId="0" applyFont="1" applyBorder="1" applyAlignment="1">
      <alignment horizontal="center" vertical="center"/>
    </xf>
    <xf numFmtId="0" fontId="7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wrapText="1"/>
    </xf>
    <xf numFmtId="0" fontId="7" fillId="0" borderId="0" xfId="0" applyFont="1" applyFill="1" applyBorder="1" applyAlignment="1">
      <alignment horizontal="left" vertical="top" wrapText="1"/>
    </xf>
    <xf numFmtId="0" fontId="4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top" wrapText="1"/>
    </xf>
    <xf numFmtId="0" fontId="7" fillId="0" borderId="14" xfId="0" applyFont="1" applyBorder="1" applyAlignment="1">
      <alignment horizontal="center" vertical="top" wrapText="1"/>
    </xf>
    <xf numFmtId="0" fontId="7" fillId="0" borderId="16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7" fillId="0" borderId="19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122459</xdr:colOff>
      <xdr:row>0</xdr:row>
      <xdr:rowOff>40821</xdr:rowOff>
    </xdr:from>
    <xdr:to>
      <xdr:col>21</xdr:col>
      <xdr:colOff>1345204</xdr:colOff>
      <xdr:row>3</xdr:row>
      <xdr:rowOff>8702</xdr:rowOff>
    </xdr:to>
    <xdr:pic>
      <xdr:nvPicPr>
        <xdr:cNvPr id="2" name="Picture 1" descr="C:\Users\admin\AppData\Local\Microsoft\Windows\INetCache\Content.Word\kf plant banjaran logo png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757066" y="40821"/>
          <a:ext cx="1222745" cy="6060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28"/>
  <sheetViews>
    <sheetView tabSelected="1" view="pageBreakPreview" topLeftCell="A4" zoomScale="80" zoomScaleNormal="70" zoomScaleSheetLayoutView="80" workbookViewId="0">
      <pane xSplit="3" ySplit="8" topLeftCell="D12" activePane="bottomRight" state="frozen"/>
      <selection activeCell="A4" sqref="A4"/>
      <selection pane="topRight" activeCell="D4" sqref="D4"/>
      <selection pane="bottomLeft" activeCell="A12" sqref="A12"/>
      <selection pane="bottomRight" activeCell="A10" sqref="A10:A11"/>
    </sheetView>
  </sheetViews>
  <sheetFormatPr defaultRowHeight="15" x14ac:dyDescent="0.25"/>
  <cols>
    <col min="1" max="1" width="5.140625" bestFit="1" customWidth="1"/>
    <col min="2" max="2" width="15.7109375" style="3" customWidth="1"/>
    <col min="3" max="3" width="1.7109375" bestFit="1" customWidth="1"/>
    <col min="4" max="4" width="21.42578125" customWidth="1"/>
    <col min="5" max="5" width="17" customWidth="1"/>
    <col min="6" max="6" width="7.28515625" customWidth="1"/>
    <col min="7" max="7" width="45.140625" customWidth="1"/>
    <col min="8" max="10" width="8.7109375" customWidth="1"/>
    <col min="11" max="11" width="13" customWidth="1"/>
    <col min="12" max="12" width="37" bestFit="1" customWidth="1"/>
    <col min="13" max="13" width="26.7109375" customWidth="1"/>
    <col min="14" max="16" width="15.7109375" customWidth="1"/>
    <col min="17" max="20" width="8.7109375" customWidth="1"/>
    <col min="21" max="21" width="11.42578125" bestFit="1" customWidth="1"/>
    <col min="22" max="22" width="21.42578125" style="12" customWidth="1"/>
    <col min="23" max="26" width="9.140625" style="12"/>
  </cols>
  <sheetData>
    <row r="1" spans="1:26" x14ac:dyDescent="0.25">
      <c r="A1" s="65" t="s">
        <v>21</v>
      </c>
      <c r="B1" s="66"/>
      <c r="C1" s="1"/>
      <c r="D1" s="1"/>
      <c r="E1" s="8"/>
    </row>
    <row r="2" spans="1:26" x14ac:dyDescent="0.25">
      <c r="A2" s="67" t="s">
        <v>0</v>
      </c>
      <c r="B2" s="68"/>
      <c r="C2" s="4" t="s">
        <v>2</v>
      </c>
      <c r="D2" s="16" t="s">
        <v>33</v>
      </c>
      <c r="E2" s="9"/>
    </row>
    <row r="3" spans="1:26" ht="15.75" thickBot="1" x14ac:dyDescent="0.3">
      <c r="A3" s="69" t="s">
        <v>1</v>
      </c>
      <c r="B3" s="70"/>
      <c r="C3" s="2" t="s">
        <v>2</v>
      </c>
      <c r="D3" s="2" t="s">
        <v>28</v>
      </c>
      <c r="E3" s="10"/>
    </row>
    <row r="5" spans="1:26" ht="18" x14ac:dyDescent="0.25">
      <c r="A5" s="72" t="s">
        <v>3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15"/>
    </row>
    <row r="7" spans="1:26" x14ac:dyDescent="0.25">
      <c r="A7" s="73" t="s">
        <v>4</v>
      </c>
      <c r="B7" s="73"/>
      <c r="C7" s="11" t="s">
        <v>2</v>
      </c>
    </row>
    <row r="8" spans="1:26" x14ac:dyDescent="0.25">
      <c r="A8" s="73" t="s">
        <v>5</v>
      </c>
      <c r="B8" s="73"/>
      <c r="C8" s="17" t="s">
        <v>61</v>
      </c>
      <c r="D8" s="18"/>
      <c r="E8" s="18"/>
      <c r="F8" s="18"/>
      <c r="G8" s="18"/>
      <c r="H8" s="18"/>
      <c r="I8" s="18"/>
    </row>
    <row r="10" spans="1:26" ht="81.75" customHeight="1" x14ac:dyDescent="0.25">
      <c r="A10" s="71" t="s">
        <v>6</v>
      </c>
      <c r="B10" s="63" t="s">
        <v>7</v>
      </c>
      <c r="C10" s="63"/>
      <c r="D10" s="63" t="s">
        <v>8</v>
      </c>
      <c r="E10" s="63" t="s">
        <v>9</v>
      </c>
      <c r="F10" s="71" t="s">
        <v>10</v>
      </c>
      <c r="G10" s="63" t="s">
        <v>11</v>
      </c>
      <c r="H10" s="71" t="s">
        <v>12</v>
      </c>
      <c r="I10" s="71" t="s">
        <v>13</v>
      </c>
      <c r="J10" s="71" t="s">
        <v>14</v>
      </c>
      <c r="K10" s="63" t="s">
        <v>20</v>
      </c>
      <c r="L10" s="63" t="s">
        <v>15</v>
      </c>
      <c r="M10" s="63" t="s">
        <v>16</v>
      </c>
      <c r="N10" s="63" t="s">
        <v>17</v>
      </c>
      <c r="O10" s="63" t="s">
        <v>18</v>
      </c>
      <c r="P10" s="63" t="s">
        <v>22</v>
      </c>
      <c r="Q10" s="74" t="s">
        <v>19</v>
      </c>
      <c r="R10" s="75"/>
      <c r="S10" s="75"/>
      <c r="T10" s="75"/>
      <c r="U10" s="76"/>
      <c r="V10" s="62" t="s">
        <v>23</v>
      </c>
    </row>
    <row r="11" spans="1:26" ht="27.75" customHeight="1" x14ac:dyDescent="0.25">
      <c r="A11" s="71"/>
      <c r="B11" s="63"/>
      <c r="C11" s="63"/>
      <c r="D11" s="63"/>
      <c r="E11" s="63"/>
      <c r="F11" s="71"/>
      <c r="G11" s="63"/>
      <c r="H11" s="71"/>
      <c r="I11" s="71"/>
      <c r="J11" s="71"/>
      <c r="K11" s="63"/>
      <c r="L11" s="63"/>
      <c r="M11" s="63"/>
      <c r="N11" s="63"/>
      <c r="O11" s="63"/>
      <c r="P11" s="63"/>
      <c r="Q11" s="20" t="s">
        <v>10</v>
      </c>
      <c r="R11" s="20" t="s">
        <v>12</v>
      </c>
      <c r="S11" s="20" t="s">
        <v>13</v>
      </c>
      <c r="T11" s="19" t="s">
        <v>30</v>
      </c>
      <c r="U11" s="19" t="s">
        <v>29</v>
      </c>
      <c r="V11" s="62"/>
    </row>
    <row r="12" spans="1:26" s="31" customFormat="1" ht="138.75" customHeight="1" x14ac:dyDescent="0.2">
      <c r="A12" s="77">
        <v>1</v>
      </c>
      <c r="B12" s="79" t="s">
        <v>64</v>
      </c>
      <c r="C12" s="80"/>
      <c r="D12" s="23" t="s">
        <v>46</v>
      </c>
      <c r="E12" s="24" t="s">
        <v>47</v>
      </c>
      <c r="F12" s="25">
        <v>4</v>
      </c>
      <c r="G12" s="24" t="s">
        <v>48</v>
      </c>
      <c r="H12" s="25">
        <v>2</v>
      </c>
      <c r="I12" s="25">
        <v>4</v>
      </c>
      <c r="J12" s="25">
        <f>F12*H12*I12</f>
        <v>32</v>
      </c>
      <c r="K12" s="25" t="str">
        <f>IF(F12*H12&lt;5,"Minor",IF(F12*H12&lt;15,"Mayor","Critical"))</f>
        <v>Mayor</v>
      </c>
      <c r="L12" s="22" t="s">
        <v>49</v>
      </c>
      <c r="M12" s="22" t="s">
        <v>50</v>
      </c>
      <c r="N12" s="25" t="s">
        <v>42</v>
      </c>
      <c r="O12" s="26">
        <v>44592</v>
      </c>
      <c r="P12" s="27"/>
      <c r="Q12" s="28"/>
      <c r="R12" s="28"/>
      <c r="S12" s="28"/>
      <c r="T12" s="27"/>
      <c r="U12" s="27"/>
      <c r="V12" s="29"/>
      <c r="W12" s="30"/>
      <c r="X12" s="30"/>
      <c r="Y12" s="30"/>
      <c r="Z12" s="30"/>
    </row>
    <row r="13" spans="1:26" s="31" customFormat="1" ht="120" customHeight="1" x14ac:dyDescent="0.2">
      <c r="A13" s="78"/>
      <c r="B13" s="81"/>
      <c r="C13" s="82"/>
      <c r="D13" s="23" t="s">
        <v>67</v>
      </c>
      <c r="E13" s="24" t="s">
        <v>51</v>
      </c>
      <c r="F13" s="25">
        <v>3</v>
      </c>
      <c r="G13" s="24" t="s">
        <v>62</v>
      </c>
      <c r="H13" s="32">
        <v>3</v>
      </c>
      <c r="I13" s="32">
        <v>1</v>
      </c>
      <c r="J13" s="25">
        <f>F13*H13*I13</f>
        <v>9</v>
      </c>
      <c r="K13" s="25" t="str">
        <f>IF(F13*H13&lt;5,"Minor",IF(F13*H13&lt;15,"Mayor","Critical"))</f>
        <v>Mayor</v>
      </c>
      <c r="L13" s="33" t="s">
        <v>52</v>
      </c>
      <c r="M13" s="33" t="s">
        <v>63</v>
      </c>
      <c r="N13" s="25" t="s">
        <v>37</v>
      </c>
      <c r="O13" s="26">
        <v>44592</v>
      </c>
      <c r="P13" s="27"/>
      <c r="Q13" s="28"/>
      <c r="R13" s="28"/>
      <c r="S13" s="28"/>
      <c r="T13" s="27"/>
      <c r="U13" s="27"/>
      <c r="V13" s="29"/>
      <c r="W13" s="30"/>
      <c r="X13" s="30"/>
      <c r="Y13" s="30"/>
      <c r="Z13" s="30"/>
    </row>
    <row r="14" spans="1:26" s="31" customFormat="1" ht="99.75" customHeight="1" x14ac:dyDescent="0.2">
      <c r="A14" s="78"/>
      <c r="B14" s="81"/>
      <c r="C14" s="82"/>
      <c r="D14" s="22" t="s">
        <v>57</v>
      </c>
      <c r="E14" s="24" t="s">
        <v>56</v>
      </c>
      <c r="F14" s="25">
        <v>3</v>
      </c>
      <c r="G14" s="24" t="s">
        <v>65</v>
      </c>
      <c r="H14" s="25">
        <v>4</v>
      </c>
      <c r="I14" s="25">
        <v>1</v>
      </c>
      <c r="J14" s="25">
        <f t="shared" ref="J14" si="0">F14*H14*I14</f>
        <v>12</v>
      </c>
      <c r="K14" s="25" t="str">
        <f>IF(F14*H14&lt;5,"Minor",IF(F14*H14&lt;15,"Mayor","Critical"))</f>
        <v>Mayor</v>
      </c>
      <c r="L14" s="24" t="s">
        <v>40</v>
      </c>
      <c r="M14" s="24" t="s">
        <v>66</v>
      </c>
      <c r="N14" s="25" t="s">
        <v>58</v>
      </c>
      <c r="O14" s="26">
        <v>44620</v>
      </c>
      <c r="P14" s="27"/>
      <c r="Q14" s="28"/>
      <c r="R14" s="28"/>
      <c r="S14" s="28"/>
      <c r="T14" s="27"/>
      <c r="U14" s="27"/>
      <c r="V14" s="29"/>
      <c r="W14" s="30"/>
      <c r="X14" s="30"/>
      <c r="Y14" s="30"/>
      <c r="Z14" s="30"/>
    </row>
    <row r="15" spans="1:26" s="31" customFormat="1" ht="99.75" customHeight="1" x14ac:dyDescent="0.2">
      <c r="A15" s="78"/>
      <c r="B15" s="81"/>
      <c r="C15" s="82"/>
      <c r="D15" s="22" t="s">
        <v>54</v>
      </c>
      <c r="E15" s="24" t="s">
        <v>55</v>
      </c>
      <c r="F15" s="25">
        <v>3</v>
      </c>
      <c r="G15" s="24" t="s">
        <v>68</v>
      </c>
      <c r="H15" s="25">
        <v>3</v>
      </c>
      <c r="I15" s="25">
        <v>2</v>
      </c>
      <c r="J15" s="25">
        <f t="shared" ref="J15" si="1">F15*H15*I15</f>
        <v>18</v>
      </c>
      <c r="K15" s="25" t="str">
        <f>IF(F15*H15&lt;5,"Minor",IF(F15*H15&lt;15,"Mayor","Critical"))</f>
        <v>Mayor</v>
      </c>
      <c r="L15" s="24" t="s">
        <v>40</v>
      </c>
      <c r="M15" s="24" t="s">
        <v>69</v>
      </c>
      <c r="N15" s="25" t="s">
        <v>34</v>
      </c>
      <c r="O15" s="26">
        <v>44592</v>
      </c>
      <c r="P15" s="27"/>
      <c r="Q15" s="28"/>
      <c r="R15" s="28"/>
      <c r="S15" s="28"/>
      <c r="T15" s="27"/>
      <c r="U15" s="27"/>
      <c r="V15" s="29"/>
      <c r="W15" s="30"/>
      <c r="X15" s="30"/>
      <c r="Y15" s="30"/>
      <c r="Z15" s="30"/>
    </row>
    <row r="16" spans="1:26" s="31" customFormat="1" ht="124.5" customHeight="1" x14ac:dyDescent="0.2">
      <c r="A16" s="78"/>
      <c r="B16" s="81"/>
      <c r="C16" s="82"/>
      <c r="D16" s="24" t="s">
        <v>70</v>
      </c>
      <c r="E16" s="24" t="s">
        <v>39</v>
      </c>
      <c r="F16" s="25">
        <v>3</v>
      </c>
      <c r="G16" s="22" t="s">
        <v>71</v>
      </c>
      <c r="H16" s="25">
        <v>1</v>
      </c>
      <c r="I16" s="25">
        <v>1</v>
      </c>
      <c r="J16" s="25">
        <f t="shared" ref="J16:J18" si="2">F16*H16*I16</f>
        <v>3</v>
      </c>
      <c r="K16" s="25" t="str">
        <f t="shared" ref="K16:K18" si="3">IF(F16*H16&lt;5,"Minor",IF(F16*H16&lt;15,"Mayor","Critical"))</f>
        <v>Minor</v>
      </c>
      <c r="L16" s="24" t="s">
        <v>40</v>
      </c>
      <c r="M16" s="24" t="s">
        <v>72</v>
      </c>
      <c r="N16" s="25" t="s">
        <v>34</v>
      </c>
      <c r="O16" s="26">
        <v>44592</v>
      </c>
      <c r="P16" s="27"/>
      <c r="Q16" s="28"/>
      <c r="R16" s="28"/>
      <c r="S16" s="28"/>
      <c r="T16" s="27"/>
      <c r="U16" s="27"/>
      <c r="V16" s="29"/>
      <c r="W16" s="30"/>
      <c r="X16" s="30"/>
      <c r="Y16" s="30"/>
      <c r="Z16" s="30"/>
    </row>
    <row r="17" spans="1:26" s="31" customFormat="1" ht="105" customHeight="1" x14ac:dyDescent="0.2">
      <c r="A17" s="78"/>
      <c r="B17" s="81"/>
      <c r="C17" s="82"/>
      <c r="D17" s="24" t="s">
        <v>73</v>
      </c>
      <c r="E17" s="24" t="s">
        <v>35</v>
      </c>
      <c r="F17" s="25">
        <v>3</v>
      </c>
      <c r="G17" s="22" t="s">
        <v>74</v>
      </c>
      <c r="H17" s="25">
        <v>2</v>
      </c>
      <c r="I17" s="25">
        <v>4</v>
      </c>
      <c r="J17" s="25">
        <f t="shared" si="2"/>
        <v>24</v>
      </c>
      <c r="K17" s="25" t="str">
        <f t="shared" si="3"/>
        <v>Mayor</v>
      </c>
      <c r="L17" s="24" t="s">
        <v>75</v>
      </c>
      <c r="M17" s="24" t="s">
        <v>53</v>
      </c>
      <c r="N17" s="25" t="s">
        <v>59</v>
      </c>
      <c r="O17" s="26">
        <v>44604</v>
      </c>
      <c r="P17" s="27"/>
      <c r="Q17" s="28"/>
      <c r="R17" s="28"/>
      <c r="S17" s="28"/>
      <c r="T17" s="27"/>
      <c r="U17" s="27"/>
      <c r="V17" s="29"/>
      <c r="W17" s="30"/>
      <c r="X17" s="30"/>
      <c r="Y17" s="30"/>
      <c r="Z17" s="30"/>
    </row>
    <row r="18" spans="1:26" s="31" customFormat="1" ht="95.25" customHeight="1" x14ac:dyDescent="0.2">
      <c r="A18" s="48">
        <v>2</v>
      </c>
      <c r="B18" s="42" t="s">
        <v>76</v>
      </c>
      <c r="C18" s="43"/>
      <c r="D18" s="24" t="s">
        <v>77</v>
      </c>
      <c r="E18" s="24" t="s">
        <v>78</v>
      </c>
      <c r="F18" s="25">
        <v>4</v>
      </c>
      <c r="G18" s="22" t="s">
        <v>79</v>
      </c>
      <c r="H18" s="25">
        <v>4</v>
      </c>
      <c r="I18" s="25">
        <v>2</v>
      </c>
      <c r="J18" s="25">
        <f t="shared" si="2"/>
        <v>32</v>
      </c>
      <c r="K18" s="25" t="str">
        <f t="shared" si="3"/>
        <v>Critical</v>
      </c>
      <c r="L18" s="24" t="s">
        <v>40</v>
      </c>
      <c r="M18" s="24" t="s">
        <v>41</v>
      </c>
      <c r="N18" s="25" t="s">
        <v>59</v>
      </c>
      <c r="O18" s="26">
        <v>44561</v>
      </c>
      <c r="P18" s="27"/>
      <c r="Q18" s="28"/>
      <c r="R18" s="28"/>
      <c r="S18" s="28"/>
      <c r="T18" s="27"/>
      <c r="U18" s="27"/>
      <c r="V18" s="29"/>
      <c r="W18" s="30"/>
      <c r="X18" s="30"/>
      <c r="Y18" s="30"/>
      <c r="Z18" s="30"/>
    </row>
    <row r="19" spans="1:26" s="31" customFormat="1" ht="101.45" customHeight="1" x14ac:dyDescent="0.2">
      <c r="A19" s="49"/>
      <c r="B19" s="44"/>
      <c r="C19" s="45"/>
      <c r="D19" s="34" t="s">
        <v>80</v>
      </c>
      <c r="E19" s="24" t="s">
        <v>36</v>
      </c>
      <c r="F19" s="25">
        <v>4</v>
      </c>
      <c r="G19" s="22" t="s">
        <v>81</v>
      </c>
      <c r="H19" s="25">
        <v>2</v>
      </c>
      <c r="I19" s="25">
        <v>2</v>
      </c>
      <c r="J19" s="25">
        <f>F19*H19*I19</f>
        <v>16</v>
      </c>
      <c r="K19" s="25" t="str">
        <f>IF(F19*H19&lt;5,"Minor",IF(F19*H19&lt;15,"Mayor","Critical"))</f>
        <v>Mayor</v>
      </c>
      <c r="L19" s="24" t="s">
        <v>82</v>
      </c>
      <c r="M19" s="24" t="s">
        <v>83</v>
      </c>
      <c r="N19" s="25" t="s">
        <v>37</v>
      </c>
      <c r="O19" s="26">
        <v>44592</v>
      </c>
      <c r="P19" s="27"/>
      <c r="Q19" s="28"/>
      <c r="R19" s="28"/>
      <c r="S19" s="28"/>
      <c r="T19" s="27"/>
      <c r="U19" s="27"/>
      <c r="V19" s="29"/>
      <c r="W19" s="30"/>
      <c r="X19" s="30"/>
      <c r="Y19" s="30"/>
      <c r="Z19" s="30"/>
    </row>
    <row r="20" spans="1:26" s="31" customFormat="1" ht="101.45" customHeight="1" x14ac:dyDescent="0.2">
      <c r="A20" s="50"/>
      <c r="B20" s="51"/>
      <c r="C20" s="52"/>
      <c r="D20" s="35"/>
      <c r="E20" s="24" t="s">
        <v>43</v>
      </c>
      <c r="F20" s="25">
        <v>4</v>
      </c>
      <c r="G20" s="22" t="s">
        <v>44</v>
      </c>
      <c r="H20" s="25">
        <v>2</v>
      </c>
      <c r="I20" s="25">
        <v>2</v>
      </c>
      <c r="J20" s="25">
        <f>F20*H20*I20</f>
        <v>16</v>
      </c>
      <c r="K20" s="25" t="str">
        <f>IF(F20*H20&lt;5,"Minor",IF(F20*H20&lt;15,"Mayor","Critical"))</f>
        <v>Mayor</v>
      </c>
      <c r="L20" s="24" t="s">
        <v>82</v>
      </c>
      <c r="M20" s="24" t="s">
        <v>45</v>
      </c>
      <c r="N20" s="25" t="s">
        <v>37</v>
      </c>
      <c r="O20" s="26">
        <v>44592</v>
      </c>
      <c r="P20" s="27"/>
      <c r="Q20" s="28"/>
      <c r="R20" s="28"/>
      <c r="S20" s="28"/>
      <c r="T20" s="27"/>
      <c r="U20" s="27"/>
      <c r="V20" s="29"/>
      <c r="W20" s="30"/>
      <c r="X20" s="30"/>
      <c r="Y20" s="30"/>
      <c r="Z20" s="30"/>
    </row>
    <row r="21" spans="1:26" s="31" customFormat="1" ht="123" customHeight="1" x14ac:dyDescent="0.2">
      <c r="A21" s="46"/>
      <c r="B21" s="44"/>
      <c r="C21" s="45"/>
      <c r="D21" s="53" t="s">
        <v>84</v>
      </c>
      <c r="E21" s="54" t="s">
        <v>38</v>
      </c>
      <c r="F21" s="55">
        <v>4</v>
      </c>
      <c r="G21" s="56" t="s">
        <v>85</v>
      </c>
      <c r="H21" s="55">
        <v>2</v>
      </c>
      <c r="I21" s="55">
        <v>1</v>
      </c>
      <c r="J21" s="55">
        <f t="shared" ref="J21:J22" si="4">F21*H21*I21</f>
        <v>8</v>
      </c>
      <c r="K21" s="55" t="str">
        <f t="shared" ref="K21:K22" si="5">IF(F21*H21&lt;5,"Minor",IF(F21*H21&lt;15,"Mayor","Critical"))</f>
        <v>Mayor</v>
      </c>
      <c r="L21" s="54" t="s">
        <v>40</v>
      </c>
      <c r="M21" s="54" t="s">
        <v>86</v>
      </c>
      <c r="N21" s="55" t="s">
        <v>37</v>
      </c>
      <c r="O21" s="26">
        <v>44592</v>
      </c>
      <c r="P21" s="57"/>
      <c r="Q21" s="57"/>
      <c r="R21" s="57"/>
      <c r="S21" s="57"/>
      <c r="T21" s="57"/>
      <c r="U21" s="57"/>
      <c r="V21" s="58"/>
      <c r="W21" s="30"/>
      <c r="X21" s="30"/>
      <c r="Y21" s="30"/>
      <c r="Z21" s="30"/>
    </row>
    <row r="22" spans="1:26" s="31" customFormat="1" ht="123" customHeight="1" x14ac:dyDescent="0.2">
      <c r="A22" s="47"/>
      <c r="B22" s="51"/>
      <c r="C22" s="52"/>
      <c r="D22" s="38" t="s">
        <v>87</v>
      </c>
      <c r="E22" s="24" t="s">
        <v>88</v>
      </c>
      <c r="F22" s="25">
        <v>3</v>
      </c>
      <c r="G22" s="22" t="s">
        <v>89</v>
      </c>
      <c r="H22" s="25">
        <v>2</v>
      </c>
      <c r="I22" s="25">
        <v>3</v>
      </c>
      <c r="J22" s="25">
        <f t="shared" si="4"/>
        <v>18</v>
      </c>
      <c r="K22" s="25" t="str">
        <f t="shared" si="5"/>
        <v>Mayor</v>
      </c>
      <c r="L22" s="24" t="s">
        <v>40</v>
      </c>
      <c r="M22" s="24" t="s">
        <v>90</v>
      </c>
      <c r="N22" s="25" t="s">
        <v>59</v>
      </c>
      <c r="O22" s="26">
        <v>44620</v>
      </c>
      <c r="P22" s="36"/>
      <c r="Q22" s="36"/>
      <c r="R22" s="36"/>
      <c r="S22" s="36"/>
      <c r="T22" s="36"/>
      <c r="U22" s="36"/>
      <c r="V22" s="37"/>
      <c r="W22" s="30"/>
      <c r="X22" s="30"/>
      <c r="Y22" s="30"/>
      <c r="Z22" s="30"/>
    </row>
    <row r="23" spans="1:26" s="39" customFormat="1" ht="99.95" customHeight="1" x14ac:dyDescent="0.2">
      <c r="B23" s="61" t="s">
        <v>60</v>
      </c>
      <c r="C23" s="61"/>
      <c r="D23" s="61"/>
      <c r="E23" s="61"/>
      <c r="F23" s="61"/>
      <c r="G23" s="61"/>
      <c r="H23" s="61"/>
      <c r="I23" s="61"/>
      <c r="V23" s="40"/>
      <c r="W23" s="40"/>
      <c r="X23" s="40"/>
      <c r="Y23" s="40"/>
      <c r="Z23" s="40"/>
    </row>
    <row r="24" spans="1:26" s="31" customFormat="1" ht="26.25" customHeight="1" x14ac:dyDescent="0.2">
      <c r="B24" s="59" t="s">
        <v>24</v>
      </c>
      <c r="C24" s="59"/>
      <c r="D24" s="59"/>
      <c r="J24" s="59" t="s">
        <v>25</v>
      </c>
      <c r="K24" s="59"/>
      <c r="L24" s="59"/>
      <c r="O24" s="21"/>
      <c r="P24" s="21"/>
      <c r="R24" s="59" t="s">
        <v>26</v>
      </c>
      <c r="S24" s="59"/>
      <c r="T24" s="59"/>
      <c r="U24" s="59"/>
      <c r="V24" s="59"/>
    </row>
    <row r="25" spans="1:26" s="31" customFormat="1" ht="75" customHeight="1" x14ac:dyDescent="0.2">
      <c r="B25" s="60" t="s">
        <v>31</v>
      </c>
      <c r="C25" s="60"/>
      <c r="D25" s="60"/>
      <c r="I25" s="41"/>
      <c r="J25" s="60" t="s">
        <v>32</v>
      </c>
      <c r="K25" s="60"/>
      <c r="L25" s="60"/>
      <c r="O25" s="41"/>
      <c r="P25" s="41"/>
      <c r="Q25" s="41"/>
      <c r="R25" s="60" t="s">
        <v>27</v>
      </c>
      <c r="S25" s="60"/>
      <c r="T25" s="60"/>
      <c r="U25" s="60"/>
      <c r="V25" s="60"/>
    </row>
    <row r="26" spans="1:26" s="7" customFormat="1" ht="60" customHeight="1" x14ac:dyDescent="0.25">
      <c r="B26" s="64"/>
      <c r="C26" s="64"/>
      <c r="V26" s="13"/>
      <c r="W26" s="13"/>
      <c r="X26" s="13"/>
      <c r="Y26" s="13"/>
      <c r="Z26" s="13"/>
    </row>
    <row r="27" spans="1:26" s="5" customFormat="1" x14ac:dyDescent="0.25">
      <c r="B27" s="6"/>
      <c r="V27" s="14"/>
      <c r="W27" s="14"/>
      <c r="X27" s="14"/>
      <c r="Y27" s="14"/>
      <c r="Z27" s="14"/>
    </row>
    <row r="28" spans="1:26" s="5" customFormat="1" x14ac:dyDescent="0.25">
      <c r="B28" s="6"/>
      <c r="V28" s="14"/>
      <c r="W28" s="14"/>
      <c r="X28" s="14"/>
      <c r="Y28" s="14"/>
      <c r="Z28" s="14"/>
    </row>
  </sheetData>
  <mergeCells count="33">
    <mergeCell ref="H10:H11"/>
    <mergeCell ref="A12:A17"/>
    <mergeCell ref="D10:D11"/>
    <mergeCell ref="E10:E11"/>
    <mergeCell ref="F10:F11"/>
    <mergeCell ref="B12:C17"/>
    <mergeCell ref="B26:C26"/>
    <mergeCell ref="A1:B1"/>
    <mergeCell ref="A2:B2"/>
    <mergeCell ref="A3:B3"/>
    <mergeCell ref="A10:A11"/>
    <mergeCell ref="B10:C11"/>
    <mergeCell ref="A5:T5"/>
    <mergeCell ref="A7:B7"/>
    <mergeCell ref="A8:B8"/>
    <mergeCell ref="Q10:U10"/>
    <mergeCell ref="I10:I11"/>
    <mergeCell ref="J10:J11"/>
    <mergeCell ref="K10:K11"/>
    <mergeCell ref="L10:L11"/>
    <mergeCell ref="M10:M11"/>
    <mergeCell ref="G10:G11"/>
    <mergeCell ref="V10:V11"/>
    <mergeCell ref="O10:O11"/>
    <mergeCell ref="N10:N11"/>
    <mergeCell ref="P10:P11"/>
    <mergeCell ref="R24:V24"/>
    <mergeCell ref="J24:L24"/>
    <mergeCell ref="R25:V25"/>
    <mergeCell ref="J25:L25"/>
    <mergeCell ref="B23:I23"/>
    <mergeCell ref="B25:D25"/>
    <mergeCell ref="B24:D24"/>
  </mergeCells>
  <phoneticPr fontId="5" type="noConversion"/>
  <pageMargins left="0.7" right="0.7" top="0.75" bottom="0.75" header="0.3" footer="0.3"/>
  <pageSetup paperSize="9" scale="3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 Mutu</dc:creator>
  <cp:lastModifiedBy>HP</cp:lastModifiedBy>
  <cp:lastPrinted>2021-10-06T06:43:26Z</cp:lastPrinted>
  <dcterms:created xsi:type="dcterms:W3CDTF">2017-12-20T01:10:30Z</dcterms:created>
  <dcterms:modified xsi:type="dcterms:W3CDTF">2022-01-05T06:54:55Z</dcterms:modified>
</cp:coreProperties>
</file>