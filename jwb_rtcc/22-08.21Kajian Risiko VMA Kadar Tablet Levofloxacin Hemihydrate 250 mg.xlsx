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1. VALIDASI\KAJIAN RISIKO\Kajian Risiko VMA\"/>
    </mc:Choice>
  </mc:AlternateContent>
  <xr:revisionPtr revIDLastSave="0" documentId="13_ncr:1_{F89F4D67-2261-4205-990E-F996253145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Sheet1!$11:$12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18" i="1"/>
  <c r="I18" i="1"/>
  <c r="J17" i="1"/>
  <c r="I17" i="1"/>
  <c r="J16" i="1"/>
  <c r="I16" i="1"/>
  <c r="I15" i="1"/>
  <c r="J14" i="1"/>
  <c r="I14" i="1"/>
  <c r="J13" i="1"/>
  <c r="I13" i="1"/>
</calcChain>
</file>

<file path=xl/sharedStrings.xml><?xml version="1.0" encoding="utf-8"?>
<sst xmlns="http://schemas.openxmlformats.org/spreadsheetml/2006/main" count="102" uniqueCount="79">
  <si>
    <t>No.</t>
  </si>
  <si>
    <t>S</t>
  </si>
  <si>
    <t>O</t>
  </si>
  <si>
    <t>D</t>
  </si>
  <si>
    <t>RPN</t>
  </si>
  <si>
    <t>F-PQS-03-008-02/04</t>
  </si>
  <si>
    <r>
      <rPr>
        <sz val="11.5"/>
        <color theme="1"/>
        <rFont val="Calibri"/>
        <family val="2"/>
        <scheme val="minor"/>
      </rPr>
      <t>Komponen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Component*</t>
    </r>
  </si>
  <si>
    <r>
      <rPr>
        <sz val="11.5"/>
        <color theme="1"/>
        <rFont val="Calibri"/>
        <family val="2"/>
        <scheme val="minor"/>
      </rPr>
      <t>Potensi Risiko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Failure Mode</t>
    </r>
  </si>
  <si>
    <r>
      <rPr>
        <sz val="11.5"/>
        <color theme="1"/>
        <rFont val="Calibri"/>
        <family val="2"/>
        <scheme val="minor"/>
      </rPr>
      <t>Efek dari Risiko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Failure Effect</t>
    </r>
  </si>
  <si>
    <r>
      <rPr>
        <sz val="11.5"/>
        <color theme="1"/>
        <rFont val="Calibri"/>
        <family val="2"/>
        <scheme val="minor"/>
      </rPr>
      <t>Penyebab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Cause</t>
    </r>
  </si>
  <si>
    <r>
      <rPr>
        <sz val="11.5"/>
        <color theme="1"/>
        <rFont val="Calibri"/>
        <family val="2"/>
        <scheme val="minor"/>
      </rPr>
      <t>Kategori Risiko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Risk Category</t>
    </r>
  </si>
  <si>
    <r>
      <rPr>
        <sz val="11.5"/>
        <color theme="1"/>
        <rFont val="Calibri"/>
        <family val="2"/>
        <scheme val="minor"/>
      </rPr>
      <t>Proses Pengawasan yang Diimplementasikan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Current Process Control</t>
    </r>
  </si>
  <si>
    <r>
      <rPr>
        <sz val="11.5"/>
        <color theme="1"/>
        <rFont val="Calibri"/>
        <family val="2"/>
        <scheme val="minor"/>
      </rPr>
      <t>Tindakan yang direkomendasikan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Recommended Action</t>
    </r>
  </si>
  <si>
    <r>
      <rPr>
        <sz val="11.5"/>
        <color theme="1"/>
        <rFont val="Calibri"/>
        <family val="2"/>
        <scheme val="minor"/>
      </rPr>
      <t>Penanggungjawab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Responsibility</t>
    </r>
  </si>
  <si>
    <r>
      <rPr>
        <sz val="11.5"/>
        <color theme="1"/>
        <rFont val="Calibri"/>
        <family val="2"/>
        <scheme val="minor"/>
      </rPr>
      <t>Batas Waktu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Target Date</t>
    </r>
  </si>
  <si>
    <r>
      <rPr>
        <sz val="11.5"/>
        <color theme="1"/>
        <rFont val="Calibri"/>
        <family val="2"/>
        <scheme val="minor"/>
      </rPr>
      <t>Tindakan yang Diambil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Action Taken</t>
    </r>
  </si>
  <si>
    <r>
      <rPr>
        <sz val="11.5"/>
        <color theme="1"/>
        <rFont val="Calibri"/>
        <family val="2"/>
        <scheme val="minor"/>
      </rPr>
      <t>Setelah Tindakan yang Diambil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After Action Taken</t>
    </r>
  </si>
  <si>
    <r>
      <rPr>
        <sz val="11.5"/>
        <color theme="1"/>
        <rFont val="Calibri"/>
        <family val="2"/>
        <scheme val="minor"/>
      </rPr>
      <t>RPN Baru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RPN</t>
    </r>
  </si>
  <si>
    <r>
      <rPr>
        <sz val="11.5"/>
        <color theme="1"/>
        <rFont val="Calibri"/>
        <family val="2"/>
        <scheme val="minor"/>
      </rPr>
      <t>Kategori Risiko Baru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Risk Category</t>
    </r>
  </si>
  <si>
    <r>
      <rPr>
        <sz val="11.5"/>
        <color theme="1"/>
        <rFont val="Calibri"/>
        <family val="2"/>
        <scheme val="minor"/>
      </rPr>
      <t>Batas Waktu Baru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Target Date</t>
    </r>
  </si>
  <si>
    <r>
      <t xml:space="preserve">Disahkan oleh/ </t>
    </r>
    <r>
      <rPr>
        <i/>
        <sz val="11.5"/>
        <color theme="1"/>
        <rFont val="Calibri"/>
        <family val="2"/>
        <scheme val="minor"/>
      </rPr>
      <t>Approved by</t>
    </r>
    <r>
      <rPr>
        <sz val="11.5"/>
        <color theme="1"/>
        <rFont val="Calibri"/>
        <family val="2"/>
        <scheme val="minor"/>
      </rPr>
      <t xml:space="preserve"> :</t>
    </r>
  </si>
  <si>
    <r>
      <t xml:space="preserve">FORMULIR </t>
    </r>
    <r>
      <rPr>
        <b/>
        <i/>
        <sz val="14"/>
        <color theme="1"/>
        <rFont val="Calibri"/>
        <family val="2"/>
        <scheme val="minor"/>
      </rPr>
      <t>FAILURE MODE AND EFFECT ANALYSIS</t>
    </r>
    <r>
      <rPr>
        <b/>
        <sz val="14"/>
        <color theme="1"/>
        <rFont val="Calibri"/>
        <family val="2"/>
        <scheme val="minor"/>
      </rPr>
      <t xml:space="preserve"> (FMEA)</t>
    </r>
  </si>
  <si>
    <r>
      <t xml:space="preserve">No. Kajian/ </t>
    </r>
    <r>
      <rPr>
        <i/>
        <sz val="10.5"/>
        <color theme="1"/>
        <rFont val="Calibri"/>
        <family val="2"/>
        <scheme val="minor"/>
      </rPr>
      <t>Assessment No</t>
    </r>
  </si>
  <si>
    <r>
      <t xml:space="preserve">Ruang lingkup/ </t>
    </r>
    <r>
      <rPr>
        <i/>
        <sz val="10.5"/>
        <color theme="1"/>
        <rFont val="Calibri"/>
        <family val="2"/>
        <scheme val="minor"/>
      </rPr>
      <t>Scope</t>
    </r>
  </si>
  <si>
    <t>FAILURE MODE AND EFFECT ANALYSIS (FMEA) FORM</t>
  </si>
  <si>
    <t>)</t>
  </si>
  <si>
    <r>
      <t xml:space="preserve">Lampiran ke-1/  </t>
    </r>
    <r>
      <rPr>
        <i/>
        <sz val="11.5"/>
        <color theme="1"/>
        <rFont val="Calibri"/>
        <family val="2"/>
        <scheme val="minor"/>
      </rPr>
      <t>1st Attachment</t>
    </r>
  </si>
  <si>
    <r>
      <rPr>
        <sz val="11.5"/>
        <color theme="1"/>
        <rFont val="Calibri"/>
        <family val="2"/>
        <scheme val="minor"/>
      </rPr>
      <t>No Dokumen</t>
    </r>
    <r>
      <rPr>
        <i/>
        <sz val="11.5"/>
        <color theme="1"/>
        <rFont val="Calibri"/>
        <family val="2"/>
        <scheme val="minor"/>
      </rPr>
      <t>/ Document No.</t>
    </r>
  </si>
  <si>
    <r>
      <t>Tanggal Berlaku/</t>
    </r>
    <r>
      <rPr>
        <i/>
        <sz val="11.5"/>
        <color theme="1"/>
        <rFont val="Calibri"/>
        <family val="2"/>
        <scheme val="minor"/>
      </rPr>
      <t xml:space="preserve"> Effective Date</t>
    </r>
  </si>
  <si>
    <t>(</t>
  </si>
  <si>
    <t xml:space="preserve">Tanggal ….......................................                       </t>
  </si>
  <si>
    <t>MPM</t>
  </si>
  <si>
    <t>Studi literatur</t>
  </si>
  <si>
    <t>Kesalahan interpretasi metode analisis dari kompendia</t>
  </si>
  <si>
    <t>Kesalahan dalam penyusunan prosedur analisis</t>
  </si>
  <si>
    <t>Pemahaman yang kurang dalam pembacaan literatur/kompendia yang menggunakan bahasa baku atau terjemahan dari bahasa asing</t>
  </si>
  <si>
    <t>Untuk memudahkan pemahaman bisa dibaca dari sumber aslinya. Misal, USP adalah sumber asli dari Farmakope Indonesia</t>
  </si>
  <si>
    <t>Dilakukan pelatihan studi literatur</t>
  </si>
  <si>
    <t>AMKV</t>
  </si>
  <si>
    <t>Pengadaan bahan &amp; alat</t>
  </si>
  <si>
    <t>Reagen dan alat yang dipesan terlambat datang</t>
  </si>
  <si>
    <t>Validasi metode analisis tidak bisa dikerjakan</t>
  </si>
  <si>
    <t>Proses administrasi yang panjang, barang harus inden</t>
  </si>
  <si>
    <t>Pemesanan reagen/alat dilakukan jauh-jauh hari</t>
  </si>
  <si>
    <t>Meminta reagen atau meminjam alat ke R&amp;D/plant lain</t>
  </si>
  <si>
    <t>Pembuatan protokol validasi metode analisis</t>
  </si>
  <si>
    <t>Personel bertanya ke analis lain yang berasal dari Plant Banjaran</t>
  </si>
  <si>
    <t>Personel diberikan sosialisasi dokumen VMA yang berlaku</t>
  </si>
  <si>
    <t>Pelaksanaan validasi metode analisis</t>
  </si>
  <si>
    <t>Hasil analisis TMS</t>
  </si>
  <si>
    <t>Metode analisis tidak valid</t>
  </si>
  <si>
    <t>Pelaksanaan analisis tidak sesuai protokol</t>
  </si>
  <si>
    <t>Hasil yang TMS diulang</t>
  </si>
  <si>
    <t>Analis diberikan OJT ulang</t>
  </si>
  <si>
    <t>Analis kurang teliti</t>
  </si>
  <si>
    <t>Diingatkan kembali kepada analis untuk lebih teliti</t>
  </si>
  <si>
    <t>Alat yang digunakan rusak/tidak sesuai persyaratan</t>
  </si>
  <si>
    <t>Cek kondisi alat dan label kalibrasi sebelum digunakan</t>
  </si>
  <si>
    <t>Ditunjuk penanggung jawab alat</t>
  </si>
  <si>
    <t>Reagen ED</t>
  </si>
  <si>
    <t>Major</t>
  </si>
  <si>
    <t>Cek label sebelum digunakan</t>
  </si>
  <si>
    <t>Ditunjuk penanggung jawab reagen</t>
  </si>
  <si>
    <t>Pembuatan laporan validasi metode analisis</t>
  </si>
  <si>
    <t>Terjadi kesalahan penulisan, pengisian lembar kerja, dan perhitungan</t>
  </si>
  <si>
    <t>Data analisis tidak bisa dipertanggung jawabkan</t>
  </si>
  <si>
    <t>Mengingatkan analis untuk lebih teliti</t>
  </si>
  <si>
    <t>Sosialisasi ulang cara pembuatan dokumen</t>
  </si>
  <si>
    <t>Pelaksanaan transfer metode analisis</t>
  </si>
  <si>
    <t>Hasil transfer metode analisis TMS</t>
  </si>
  <si>
    <t>Metode analisis yang sudah valid tidak bisa diterapkan di lab</t>
  </si>
  <si>
    <t>Analis QC belum paham prosedur analisis yang ditransfer</t>
  </si>
  <si>
    <t>Transfer metode analisis diulang sampai MS</t>
  </si>
  <si>
    <t>Analis VMA memperhatikan betul langkah pengerjaan sampel oleh analis QC</t>
  </si>
  <si>
    <t>Desember 2022</t>
  </si>
  <si>
    <t>Personel VMA belum sepenuhnya memahami metode yang akan divalidasi</t>
  </si>
  <si>
    <t>Protokol yang dibuat tidak sesuai dengan ketentuan</t>
  </si>
  <si>
    <t xml:space="preserve">Pemahaman yang kurang dalam pembuatan protokol </t>
  </si>
  <si>
    <t>Validasi Metode Analisis Pengujian Kadar Tablet Levofloxacin Hemihydrate 250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</si>
</sst>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[$-13C09]d\ mmm\ yyyy;@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i/>
      <sz val="10"/>
      <color theme="1"/>
      <name val="Tahoma"/>
      <family val="2"/>
    </font>
    <font>
      <sz val="11.5"/>
      <color theme="1"/>
      <name val="Calibri"/>
      <family val="2"/>
      <scheme val="minor"/>
    </font>
    <font>
      <i/>
      <sz val="10.5"/>
      <color theme="1"/>
      <name val="Calibri"/>
      <family val="2"/>
      <scheme val="minor"/>
    </font>
    <font>
      <i/>
      <sz val="11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Tahoma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70">
    <xf numFmtId="0" fontId="0" fillId="0" borderId="0" xfId="0"/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/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7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165" fontId="5" fillId="0" borderId="4" xfId="0" applyNumberFormat="1" applyFont="1" applyBorder="1" applyAlignment="1">
      <alignment horizontal="left" vertical="center" wrapText="1"/>
    </xf>
    <xf numFmtId="165" fontId="5" fillId="0" borderId="0" xfId="0" applyNumberFormat="1" applyFont="1"/>
    <xf numFmtId="165" fontId="0" fillId="0" borderId="0" xfId="0" applyNumberFormat="1"/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right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/>
    </xf>
    <xf numFmtId="165" fontId="3" fillId="0" borderId="8" xfId="1" applyNumberFormat="1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13" fillId="0" borderId="15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13" fillId="0" borderId="8" xfId="0" applyFont="1" applyBorder="1" applyAlignment="1">
      <alignment vertical="top" wrapText="1"/>
    </xf>
    <xf numFmtId="0" fontId="13" fillId="0" borderId="1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3" fillId="0" borderId="17" xfId="0" applyFont="1" applyBorder="1" applyAlignment="1">
      <alignment vertical="top" wrapText="1"/>
    </xf>
    <xf numFmtId="0" fontId="13" fillId="0" borderId="19" xfId="0" applyFont="1" applyBorder="1" applyAlignment="1">
      <alignment horizontal="center" vertical="top"/>
    </xf>
    <xf numFmtId="0" fontId="3" fillId="0" borderId="8" xfId="0" applyFont="1" applyBorder="1" applyAlignment="1">
      <alignment vertical="top"/>
    </xf>
    <xf numFmtId="0" fontId="1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center" wrapText="1"/>
    </xf>
    <xf numFmtId="0" fontId="0" fillId="0" borderId="8" xfId="0" applyBorder="1"/>
    <xf numFmtId="0" fontId="2" fillId="0" borderId="8" xfId="0" applyFont="1" applyBorder="1"/>
    <xf numFmtId="0" fontId="3" fillId="0" borderId="11" xfId="0" applyFont="1" applyBorder="1" applyAlignment="1">
      <alignment horizontal="center" vertical="top"/>
    </xf>
    <xf numFmtId="0" fontId="13" fillId="0" borderId="20" xfId="0" applyFont="1" applyBorder="1" applyAlignment="1">
      <alignment vertical="top" wrapText="1"/>
    </xf>
    <xf numFmtId="0" fontId="3" fillId="0" borderId="2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center" vertical="top"/>
    </xf>
    <xf numFmtId="0" fontId="13" fillId="0" borderId="10" xfId="0" applyFont="1" applyBorder="1" applyAlignment="1">
      <alignment vertical="top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0" xfId="0" applyFont="1"/>
  </cellXfs>
  <cellStyles count="2">
    <cellStyle name="Normal" xfId="0" builtinId="0"/>
    <cellStyle name="Normal 2" xfId="1" xr:uid="{FBF1551B-E180-481E-8951-28E4CC5C9339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710045</xdr:colOff>
      <xdr:row>0</xdr:row>
      <xdr:rowOff>40820</xdr:rowOff>
    </xdr:from>
    <xdr:to>
      <xdr:col>20</xdr:col>
      <xdr:colOff>1345204</xdr:colOff>
      <xdr:row>3</xdr:row>
      <xdr:rowOff>173181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0" y="40820"/>
          <a:ext cx="1397159" cy="7384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view="pageBreakPreview" zoomScaleNormal="70" zoomScaleSheetLayoutView="100" workbookViewId="0">
      <selection activeCell="A5" sqref="A5:U5"/>
    </sheetView>
  </sheetViews>
  <sheetFormatPr defaultRowHeight="15" x14ac:dyDescent="0.25"/>
  <cols>
    <col min="1" max="1" width="5.140625" bestFit="1" customWidth="1"/>
    <col min="2" max="2" width="31.28515625" customWidth="1"/>
    <col min="3" max="4" width="15.7109375" customWidth="1"/>
    <col min="5" max="5" width="16.7109375" customWidth="1"/>
    <col min="6" max="6" width="18.7109375" customWidth="1"/>
    <col min="7" max="7" width="19.140625" customWidth="1"/>
    <col min="8" max="9" width="8.7109375" customWidth="1"/>
    <col min="10" max="10" width="13" customWidth="1"/>
    <col min="11" max="11" width="20" customWidth="1"/>
    <col min="12" max="12" width="20.7109375" customWidth="1"/>
    <col min="13" max="13" width="21.28515625" customWidth="1"/>
    <col min="14" max="14" width="15.7109375" style="21" customWidth="1"/>
    <col min="15" max="15" width="15.7109375" customWidth="1"/>
    <col min="16" max="19" width="8.7109375" customWidth="1"/>
    <col min="20" max="20" width="11.42578125" bestFit="1" customWidth="1"/>
    <col min="21" max="21" width="21.42578125" style="2" customWidth="1"/>
    <col min="22" max="25" width="9.140625" style="2"/>
  </cols>
  <sheetData>
    <row r="1" spans="1:21" ht="15.75" customHeight="1" x14ac:dyDescent="0.25">
      <c r="A1" s="53" t="s">
        <v>26</v>
      </c>
      <c r="B1" s="54"/>
      <c r="C1" s="4"/>
      <c r="D1" s="5"/>
      <c r="E1" s="6"/>
      <c r="F1" s="6"/>
      <c r="G1" s="6"/>
      <c r="H1" s="6"/>
      <c r="I1" s="6"/>
      <c r="J1" s="6"/>
      <c r="K1" s="6"/>
      <c r="L1" s="6"/>
      <c r="M1" s="6"/>
      <c r="N1" s="20"/>
      <c r="O1" s="6"/>
      <c r="P1" s="6"/>
      <c r="Q1" s="6"/>
      <c r="R1" s="6"/>
      <c r="S1" s="6"/>
    </row>
    <row r="2" spans="1:21" x14ac:dyDescent="0.25">
      <c r="A2" s="55" t="s">
        <v>27</v>
      </c>
      <c r="B2" s="56"/>
      <c r="C2" s="6" t="s">
        <v>5</v>
      </c>
      <c r="D2" s="7"/>
      <c r="E2" s="6"/>
      <c r="F2" s="8"/>
      <c r="G2" s="6"/>
      <c r="H2" s="6"/>
      <c r="I2" s="6"/>
      <c r="J2" s="6"/>
      <c r="K2" s="6"/>
      <c r="L2" s="6"/>
      <c r="M2" s="6"/>
      <c r="N2" s="20"/>
      <c r="O2" s="6"/>
      <c r="P2" s="6"/>
      <c r="Q2" s="6"/>
      <c r="R2" s="6"/>
      <c r="S2" s="6"/>
    </row>
    <row r="3" spans="1:21" ht="15.75" thickBot="1" x14ac:dyDescent="0.3">
      <c r="A3" s="57" t="s">
        <v>28</v>
      </c>
      <c r="B3" s="58"/>
      <c r="C3" s="19">
        <v>44361</v>
      </c>
      <c r="D3" s="9"/>
      <c r="E3" s="6"/>
      <c r="F3" s="6"/>
      <c r="G3" s="6"/>
      <c r="H3" s="6"/>
      <c r="I3" s="6"/>
      <c r="J3" s="6"/>
      <c r="K3" s="6"/>
      <c r="L3" s="6"/>
      <c r="M3" s="6"/>
      <c r="N3" s="20"/>
      <c r="O3" s="6"/>
      <c r="P3" s="6"/>
      <c r="Q3" s="6"/>
      <c r="R3" s="6"/>
      <c r="S3" s="6"/>
    </row>
    <row r="4" spans="1:21" x14ac:dyDescent="0.25">
      <c r="A4" s="6"/>
      <c r="B4" s="6"/>
      <c r="C4" s="6"/>
      <c r="D4" s="6"/>
      <c r="E4" s="8"/>
      <c r="F4" s="6"/>
      <c r="G4" s="6"/>
      <c r="H4" s="6"/>
      <c r="I4" s="6"/>
      <c r="J4" s="6"/>
      <c r="K4" s="6"/>
      <c r="L4" s="6"/>
      <c r="M4" s="6"/>
      <c r="N4" s="20"/>
      <c r="O4" s="6"/>
      <c r="P4" s="6"/>
      <c r="Q4" s="6"/>
      <c r="R4" s="6"/>
      <c r="S4" s="6"/>
    </row>
    <row r="5" spans="1:21" ht="18.75" x14ac:dyDescent="0.3">
      <c r="A5" s="62" t="s">
        <v>21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</row>
    <row r="6" spans="1:21" ht="18" customHeight="1" x14ac:dyDescent="0.25">
      <c r="A6" s="63" t="s">
        <v>24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20"/>
      <c r="O7" s="6"/>
      <c r="P7" s="6"/>
      <c r="Q7" s="6"/>
      <c r="R7" s="6"/>
      <c r="S7" s="6"/>
    </row>
    <row r="8" spans="1:21" x14ac:dyDescent="0.25">
      <c r="A8" s="61" t="s">
        <v>22</v>
      </c>
      <c r="B8" s="6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20"/>
      <c r="O8" s="6"/>
      <c r="P8" s="6"/>
      <c r="Q8" s="6"/>
      <c r="R8" s="6"/>
      <c r="S8" s="6"/>
    </row>
    <row r="9" spans="1:21" x14ac:dyDescent="0.25">
      <c r="A9" s="61" t="s">
        <v>23</v>
      </c>
      <c r="B9" s="61"/>
      <c r="C9" s="69" t="s">
        <v>78</v>
      </c>
      <c r="D9" s="6"/>
      <c r="E9" s="6"/>
      <c r="F9" s="6"/>
      <c r="G9" s="6"/>
      <c r="H9" s="6"/>
      <c r="I9" s="6"/>
      <c r="J9" s="6"/>
      <c r="K9" s="6"/>
      <c r="L9" s="6"/>
      <c r="M9" s="6"/>
      <c r="N9" s="20"/>
      <c r="O9" s="6"/>
      <c r="P9" s="6"/>
      <c r="Q9" s="6"/>
      <c r="R9" s="6"/>
      <c r="S9" s="6"/>
    </row>
    <row r="11" spans="1:21" ht="71.25" customHeight="1" x14ac:dyDescent="0.25">
      <c r="A11" s="60" t="s">
        <v>0</v>
      </c>
      <c r="B11" s="59" t="s">
        <v>6</v>
      </c>
      <c r="C11" s="59" t="s">
        <v>7</v>
      </c>
      <c r="D11" s="59" t="s">
        <v>8</v>
      </c>
      <c r="E11" s="60" t="s">
        <v>1</v>
      </c>
      <c r="F11" s="59" t="s">
        <v>9</v>
      </c>
      <c r="G11" s="60" t="s">
        <v>2</v>
      </c>
      <c r="H11" s="60" t="s">
        <v>3</v>
      </c>
      <c r="I11" s="60" t="s">
        <v>4</v>
      </c>
      <c r="J11" s="59" t="s">
        <v>10</v>
      </c>
      <c r="K11" s="59" t="s">
        <v>11</v>
      </c>
      <c r="L11" s="59" t="s">
        <v>12</v>
      </c>
      <c r="M11" s="59" t="s">
        <v>13</v>
      </c>
      <c r="N11" s="65" t="s">
        <v>14</v>
      </c>
      <c r="O11" s="59" t="s">
        <v>15</v>
      </c>
      <c r="P11" s="66" t="s">
        <v>16</v>
      </c>
      <c r="Q11" s="67"/>
      <c r="R11" s="67"/>
      <c r="S11" s="67"/>
      <c r="T11" s="68"/>
      <c r="U11" s="59" t="s">
        <v>19</v>
      </c>
    </row>
    <row r="12" spans="1:21" ht="58.5" x14ac:dyDescent="0.25">
      <c r="A12" s="60"/>
      <c r="B12" s="59"/>
      <c r="C12" s="59"/>
      <c r="D12" s="59"/>
      <c r="E12" s="60"/>
      <c r="F12" s="59"/>
      <c r="G12" s="60"/>
      <c r="H12" s="60"/>
      <c r="I12" s="60"/>
      <c r="J12" s="59"/>
      <c r="K12" s="59"/>
      <c r="L12" s="59"/>
      <c r="M12" s="59"/>
      <c r="N12" s="65"/>
      <c r="O12" s="59"/>
      <c r="P12" s="22" t="s">
        <v>1</v>
      </c>
      <c r="Q12" s="22" t="s">
        <v>2</v>
      </c>
      <c r="R12" s="22" t="s">
        <v>3</v>
      </c>
      <c r="S12" s="23" t="s">
        <v>17</v>
      </c>
      <c r="T12" s="23" t="s">
        <v>18</v>
      </c>
      <c r="U12" s="64"/>
    </row>
    <row r="13" spans="1:21" ht="129" customHeight="1" x14ac:dyDescent="0.25">
      <c r="A13" s="25">
        <v>1</v>
      </c>
      <c r="B13" s="26" t="s">
        <v>32</v>
      </c>
      <c r="C13" s="27" t="s">
        <v>33</v>
      </c>
      <c r="D13" s="28" t="s">
        <v>34</v>
      </c>
      <c r="E13" s="29">
        <v>3</v>
      </c>
      <c r="F13" s="28" t="s">
        <v>35</v>
      </c>
      <c r="G13" s="29">
        <v>2</v>
      </c>
      <c r="H13" s="29">
        <v>2</v>
      </c>
      <c r="I13" s="30">
        <f t="shared" ref="I13:I18" si="0">E13*G13*H13</f>
        <v>12</v>
      </c>
      <c r="J13" s="13" t="str">
        <f>IF(E13*G13&lt;=4,"Minor",IF(E13*G13&lt;13,"Major","Critical"))</f>
        <v>Major</v>
      </c>
      <c r="K13" s="14" t="s">
        <v>36</v>
      </c>
      <c r="L13" s="14" t="s">
        <v>37</v>
      </c>
      <c r="M13" s="14" t="s">
        <v>38</v>
      </c>
      <c r="N13" s="31" t="s">
        <v>74</v>
      </c>
      <c r="O13" s="43"/>
      <c r="P13" s="42"/>
      <c r="Q13" s="1"/>
      <c r="R13" s="1"/>
      <c r="S13" s="1"/>
      <c r="T13" s="1"/>
      <c r="U13" s="3"/>
    </row>
    <row r="14" spans="1:21" ht="138" customHeight="1" x14ac:dyDescent="0.25">
      <c r="A14" s="25">
        <v>2</v>
      </c>
      <c r="B14" s="26" t="s">
        <v>39</v>
      </c>
      <c r="C14" s="32" t="s">
        <v>40</v>
      </c>
      <c r="D14" s="33" t="s">
        <v>41</v>
      </c>
      <c r="E14" s="29">
        <v>5</v>
      </c>
      <c r="F14" s="27" t="s">
        <v>42</v>
      </c>
      <c r="G14" s="29">
        <v>3</v>
      </c>
      <c r="H14" s="29">
        <v>3</v>
      </c>
      <c r="I14" s="30">
        <f t="shared" si="0"/>
        <v>45</v>
      </c>
      <c r="J14" s="13" t="str">
        <f t="shared" ref="J14:J18" si="1">IF(E14*G14&lt;=4,"Minor",IF(E14*G14&lt;13,"Major","Critical"))</f>
        <v>Critical</v>
      </c>
      <c r="K14" s="14" t="s">
        <v>43</v>
      </c>
      <c r="L14" s="14" t="s">
        <v>44</v>
      </c>
      <c r="M14" s="14" t="s">
        <v>38</v>
      </c>
      <c r="N14" s="31" t="s">
        <v>74</v>
      </c>
      <c r="O14" s="43"/>
      <c r="P14" s="42"/>
      <c r="Q14" s="1"/>
      <c r="R14" s="1"/>
      <c r="S14" s="1"/>
      <c r="T14" s="1"/>
      <c r="U14" s="3"/>
    </row>
    <row r="15" spans="1:21" ht="108" customHeight="1" x14ac:dyDescent="0.25">
      <c r="A15" s="30">
        <v>3</v>
      </c>
      <c r="B15" s="35" t="s">
        <v>45</v>
      </c>
      <c r="C15" s="35" t="s">
        <v>75</v>
      </c>
      <c r="D15" s="34" t="s">
        <v>76</v>
      </c>
      <c r="E15" s="13">
        <v>2</v>
      </c>
      <c r="F15" s="28" t="s">
        <v>77</v>
      </c>
      <c r="G15" s="13">
        <v>2</v>
      </c>
      <c r="H15" s="13">
        <v>3</v>
      </c>
      <c r="I15" s="30">
        <f t="shared" si="0"/>
        <v>12</v>
      </c>
      <c r="J15" s="13" t="str">
        <f t="shared" si="1"/>
        <v>Minor</v>
      </c>
      <c r="K15" s="14" t="s">
        <v>46</v>
      </c>
      <c r="L15" s="14" t="s">
        <v>47</v>
      </c>
      <c r="M15" s="14" t="s">
        <v>38</v>
      </c>
      <c r="N15" s="31" t="s">
        <v>74</v>
      </c>
      <c r="O15" s="43"/>
      <c r="P15" s="42"/>
      <c r="Q15" s="1"/>
      <c r="R15" s="1"/>
      <c r="S15" s="1"/>
      <c r="T15" s="1"/>
      <c r="U15" s="3"/>
    </row>
    <row r="16" spans="1:21" ht="38.25" customHeight="1" x14ac:dyDescent="0.25">
      <c r="A16" s="36">
        <v>4</v>
      </c>
      <c r="B16" s="38" t="s">
        <v>48</v>
      </c>
      <c r="C16" s="38" t="s">
        <v>49</v>
      </c>
      <c r="D16" s="34" t="s">
        <v>50</v>
      </c>
      <c r="E16" s="37">
        <v>3</v>
      </c>
      <c r="F16" s="14" t="s">
        <v>51</v>
      </c>
      <c r="G16" s="15">
        <v>3</v>
      </c>
      <c r="H16" s="13">
        <v>4</v>
      </c>
      <c r="I16" s="30">
        <f t="shared" si="0"/>
        <v>36</v>
      </c>
      <c r="J16" s="13" t="str">
        <f t="shared" si="1"/>
        <v>Major</v>
      </c>
      <c r="K16" s="14" t="s">
        <v>52</v>
      </c>
      <c r="L16" s="14" t="s">
        <v>53</v>
      </c>
      <c r="M16" s="14" t="s">
        <v>38</v>
      </c>
      <c r="N16" s="31" t="s">
        <v>74</v>
      </c>
      <c r="O16" s="43"/>
    </row>
    <row r="17" spans="1:21" ht="38.25" x14ac:dyDescent="0.25">
      <c r="A17" s="39"/>
      <c r="B17" s="46"/>
      <c r="C17" s="46"/>
      <c r="D17" s="47"/>
      <c r="E17" s="45">
        <v>3</v>
      </c>
      <c r="F17" s="14" t="s">
        <v>54</v>
      </c>
      <c r="G17" s="13">
        <v>3</v>
      </c>
      <c r="H17" s="13">
        <v>5</v>
      </c>
      <c r="I17" s="30">
        <f t="shared" si="0"/>
        <v>45</v>
      </c>
      <c r="J17" s="13" t="str">
        <f t="shared" si="1"/>
        <v>Major</v>
      </c>
      <c r="K17" s="14" t="s">
        <v>52</v>
      </c>
      <c r="L17" s="14" t="s">
        <v>55</v>
      </c>
      <c r="M17" s="14" t="s">
        <v>38</v>
      </c>
      <c r="N17" s="31" t="s">
        <v>74</v>
      </c>
      <c r="O17" s="43"/>
    </row>
    <row r="18" spans="1:21" s="16" customFormat="1" ht="51.75" customHeight="1" x14ac:dyDescent="0.25">
      <c r="A18" s="39"/>
      <c r="B18" s="46"/>
      <c r="C18" s="46"/>
      <c r="D18" s="47"/>
      <c r="E18" s="45">
        <v>3</v>
      </c>
      <c r="F18" s="14" t="s">
        <v>56</v>
      </c>
      <c r="G18" s="13">
        <v>2</v>
      </c>
      <c r="H18" s="13">
        <v>4</v>
      </c>
      <c r="I18" s="30">
        <f t="shared" si="0"/>
        <v>24</v>
      </c>
      <c r="J18" s="13" t="str">
        <f t="shared" si="1"/>
        <v>Major</v>
      </c>
      <c r="K18" s="14" t="s">
        <v>57</v>
      </c>
      <c r="L18" s="14" t="s">
        <v>58</v>
      </c>
      <c r="M18" s="14" t="s">
        <v>38</v>
      </c>
      <c r="N18" s="31" t="s">
        <v>74</v>
      </c>
      <c r="O18" s="44"/>
      <c r="Q18" s="51" t="s">
        <v>20</v>
      </c>
      <c r="R18" s="51"/>
      <c r="S18" s="51"/>
      <c r="T18" s="51"/>
      <c r="U18" s="17"/>
    </row>
    <row r="19" spans="1:21" s="16" customFormat="1" ht="42" customHeight="1" x14ac:dyDescent="0.25">
      <c r="A19" s="39"/>
      <c r="B19" s="46"/>
      <c r="C19" s="46"/>
      <c r="D19" s="47"/>
      <c r="E19" s="45">
        <v>3</v>
      </c>
      <c r="F19" s="40" t="s">
        <v>59</v>
      </c>
      <c r="G19" s="15">
        <v>2</v>
      </c>
      <c r="H19" s="13">
        <v>5</v>
      </c>
      <c r="I19" s="30">
        <v>30</v>
      </c>
      <c r="J19" s="13" t="s">
        <v>60</v>
      </c>
      <c r="K19" s="14" t="s">
        <v>61</v>
      </c>
      <c r="L19" s="14" t="s">
        <v>62</v>
      </c>
      <c r="M19" s="14" t="s">
        <v>38</v>
      </c>
      <c r="N19" s="31" t="s">
        <v>74</v>
      </c>
      <c r="O19" s="44"/>
      <c r="P19" s="10"/>
      <c r="Q19" s="52" t="s">
        <v>30</v>
      </c>
      <c r="R19" s="52"/>
      <c r="S19" s="52"/>
      <c r="T19" s="52"/>
      <c r="U19" s="18"/>
    </row>
    <row r="20" spans="1:21" s="16" customFormat="1" ht="73.5" customHeight="1" x14ac:dyDescent="0.25">
      <c r="A20" s="48">
        <v>5</v>
      </c>
      <c r="B20" s="49" t="s">
        <v>63</v>
      </c>
      <c r="C20" s="35" t="s">
        <v>64</v>
      </c>
      <c r="D20" s="14" t="s">
        <v>65</v>
      </c>
      <c r="E20" s="13">
        <v>2</v>
      </c>
      <c r="F20" s="40" t="s">
        <v>54</v>
      </c>
      <c r="G20" s="13">
        <v>4</v>
      </c>
      <c r="H20" s="13">
        <v>5</v>
      </c>
      <c r="I20" s="30">
        <v>40</v>
      </c>
      <c r="J20" s="13" t="s">
        <v>60</v>
      </c>
      <c r="K20" s="14" t="s">
        <v>66</v>
      </c>
      <c r="L20" s="14" t="s">
        <v>67</v>
      </c>
      <c r="M20" s="14" t="s">
        <v>38</v>
      </c>
      <c r="N20" s="31" t="s">
        <v>74</v>
      </c>
      <c r="O20" s="44"/>
      <c r="P20" s="24" t="s">
        <v>29</v>
      </c>
      <c r="Q20" s="50" t="s">
        <v>31</v>
      </c>
      <c r="R20" s="50"/>
      <c r="S20" s="50"/>
      <c r="T20" s="50"/>
      <c r="U20" s="18" t="s">
        <v>25</v>
      </c>
    </row>
    <row r="21" spans="1:21" ht="60" customHeight="1" x14ac:dyDescent="0.25">
      <c r="A21" s="30">
        <v>6</v>
      </c>
      <c r="B21" s="41" t="s">
        <v>68</v>
      </c>
      <c r="C21" s="35" t="s">
        <v>69</v>
      </c>
      <c r="D21" s="14" t="s">
        <v>70</v>
      </c>
      <c r="E21" s="13">
        <v>3</v>
      </c>
      <c r="F21" s="12" t="s">
        <v>71</v>
      </c>
      <c r="G21" s="13">
        <v>4</v>
      </c>
      <c r="H21" s="13">
        <v>5</v>
      </c>
      <c r="I21" s="30">
        <v>60</v>
      </c>
      <c r="J21" s="13" t="s">
        <v>60</v>
      </c>
      <c r="K21" s="14" t="s">
        <v>72</v>
      </c>
      <c r="L21" s="14" t="s">
        <v>73</v>
      </c>
      <c r="M21" s="14" t="s">
        <v>38</v>
      </c>
      <c r="N21" s="31" t="s">
        <v>74</v>
      </c>
      <c r="O21" s="43"/>
    </row>
    <row r="22" spans="1:21" ht="60" customHeight="1" x14ac:dyDescent="0.25">
      <c r="B22" s="11"/>
    </row>
    <row r="23" spans="1:21" ht="60" customHeight="1" x14ac:dyDescent="0.25">
      <c r="B23" s="11"/>
    </row>
    <row r="24" spans="1:21" ht="60" customHeight="1" x14ac:dyDescent="0.25">
      <c r="B24" s="11"/>
    </row>
    <row r="25" spans="1:21" ht="60" customHeight="1" x14ac:dyDescent="0.25">
      <c r="B25" s="11"/>
    </row>
    <row r="26" spans="1:21" ht="60" customHeight="1" x14ac:dyDescent="0.25">
      <c r="B26" s="11"/>
    </row>
    <row r="27" spans="1:21" ht="60" customHeight="1" x14ac:dyDescent="0.25">
      <c r="B27" s="11"/>
    </row>
    <row r="28" spans="1:21" ht="60" customHeight="1" x14ac:dyDescent="0.25">
      <c r="B28" s="11"/>
    </row>
    <row r="29" spans="1:21" ht="60" customHeight="1" x14ac:dyDescent="0.25">
      <c r="B29" s="11"/>
    </row>
    <row r="30" spans="1:21" ht="60" customHeight="1" x14ac:dyDescent="0.25">
      <c r="B30" s="11"/>
    </row>
    <row r="31" spans="1:21" ht="60" customHeight="1" x14ac:dyDescent="0.25">
      <c r="B31" s="11"/>
    </row>
    <row r="32" spans="1:21" ht="60" customHeight="1" x14ac:dyDescent="0.25">
      <c r="B32" s="11"/>
    </row>
    <row r="33" spans="2:2" ht="60" customHeight="1" x14ac:dyDescent="0.25">
      <c r="B33" s="11"/>
    </row>
    <row r="34" spans="2:2" ht="60" customHeight="1" x14ac:dyDescent="0.25">
      <c r="B34" s="11"/>
    </row>
    <row r="35" spans="2:2" ht="60" customHeight="1" x14ac:dyDescent="0.25">
      <c r="B35" s="11"/>
    </row>
    <row r="36" spans="2:2" ht="60" customHeight="1" x14ac:dyDescent="0.25">
      <c r="B36" s="11"/>
    </row>
    <row r="37" spans="2:2" ht="60" customHeight="1" x14ac:dyDescent="0.25">
      <c r="B37" s="11"/>
    </row>
    <row r="38" spans="2:2" ht="60" customHeight="1" x14ac:dyDescent="0.25">
      <c r="B38" s="11"/>
    </row>
    <row r="39" spans="2:2" ht="60" customHeight="1" x14ac:dyDescent="0.25">
      <c r="B39" s="11"/>
    </row>
    <row r="40" spans="2:2" ht="60" customHeight="1" x14ac:dyDescent="0.25">
      <c r="B40" s="11"/>
    </row>
    <row r="41" spans="2:2" ht="60" customHeight="1" x14ac:dyDescent="0.25">
      <c r="B41" s="11"/>
    </row>
    <row r="42" spans="2:2" ht="60" customHeight="1" x14ac:dyDescent="0.25">
      <c r="B42" s="11"/>
    </row>
    <row r="43" spans="2:2" ht="60" customHeight="1" x14ac:dyDescent="0.25">
      <c r="B43" s="11"/>
    </row>
    <row r="44" spans="2:2" ht="60" customHeight="1" x14ac:dyDescent="0.25">
      <c r="B44" s="11"/>
    </row>
    <row r="45" spans="2:2" ht="60" customHeight="1" x14ac:dyDescent="0.25">
      <c r="B45" s="11"/>
    </row>
    <row r="46" spans="2:2" ht="60" customHeight="1" x14ac:dyDescent="0.25">
      <c r="B46" s="11"/>
    </row>
    <row r="47" spans="2:2" ht="60" customHeight="1" x14ac:dyDescent="0.25">
      <c r="B47" s="11"/>
    </row>
    <row r="48" spans="2:2" ht="60" customHeight="1" x14ac:dyDescent="0.25">
      <c r="B48" s="11"/>
    </row>
    <row r="49" spans="2:2" ht="60" customHeight="1" x14ac:dyDescent="0.25">
      <c r="B49" s="11"/>
    </row>
    <row r="50" spans="2:2" ht="60" customHeight="1" x14ac:dyDescent="0.25">
      <c r="B50" s="11"/>
    </row>
    <row r="51" spans="2:2" ht="60" customHeight="1" x14ac:dyDescent="0.25">
      <c r="B51" s="11"/>
    </row>
    <row r="52" spans="2:2" ht="60" customHeight="1" x14ac:dyDescent="0.25">
      <c r="B52" s="11"/>
    </row>
  </sheetData>
  <mergeCells count="27">
    <mergeCell ref="A5:U5"/>
    <mergeCell ref="A6:U6"/>
    <mergeCell ref="K11:K12"/>
    <mergeCell ref="L11:L12"/>
    <mergeCell ref="J11:J12"/>
    <mergeCell ref="U11:U12"/>
    <mergeCell ref="N11:N12"/>
    <mergeCell ref="M11:M12"/>
    <mergeCell ref="O11:O12"/>
    <mergeCell ref="P11:T11"/>
    <mergeCell ref="H11:H12"/>
    <mergeCell ref="Q20:T20"/>
    <mergeCell ref="Q18:T18"/>
    <mergeCell ref="Q19:T19"/>
    <mergeCell ref="A1:B1"/>
    <mergeCell ref="A2:B2"/>
    <mergeCell ref="A3:B3"/>
    <mergeCell ref="F11:F12"/>
    <mergeCell ref="G11:G12"/>
    <mergeCell ref="C11:C12"/>
    <mergeCell ref="D11:D12"/>
    <mergeCell ref="E11:E12"/>
    <mergeCell ref="A11:A12"/>
    <mergeCell ref="B11:B12"/>
    <mergeCell ref="A8:B8"/>
    <mergeCell ref="A9:B9"/>
    <mergeCell ref="I11:I12"/>
  </mergeCells>
  <phoneticPr fontId="14" type="noConversion"/>
  <conditionalFormatting sqref="N13:N21">
    <cfRule type="cellIs" dxfId="1" priority="2" operator="equal">
      <formula>"diisi"</formula>
    </cfRule>
  </conditionalFormatting>
  <conditionalFormatting sqref="N13:N21">
    <cfRule type="containsText" dxfId="0" priority="1" operator="containsText" text="Mohon untuk diisi">
      <formula>NOT(ISERROR(SEARCH("Mohon untuk diisi",N13)))</formula>
    </cfRule>
  </conditionalFormatting>
  <pageMargins left="0.23622047244094491" right="0.23622047244094491" top="0.74803149606299213" bottom="0.74803149606299213" header="0.31496062992125984" footer="0.31496062992125984"/>
  <pageSetup paperSize="9" scale="48" orientation="landscape" r:id="rId1"/>
  <headerFooter>
    <oddFooter>&amp;RPage &amp;P of &amp;N</oddFooter>
  </headerFooter>
  <rowBreaks count="1" manualBreakCount="1">
    <brk id="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Mutu</dc:creator>
  <cp:lastModifiedBy>user</cp:lastModifiedBy>
  <cp:lastPrinted>2021-09-03T07:36:53Z</cp:lastPrinted>
  <dcterms:created xsi:type="dcterms:W3CDTF">2017-12-20T01:10:30Z</dcterms:created>
  <dcterms:modified xsi:type="dcterms:W3CDTF">2022-08-19T02:34:12Z</dcterms:modified>
</cp:coreProperties>
</file>