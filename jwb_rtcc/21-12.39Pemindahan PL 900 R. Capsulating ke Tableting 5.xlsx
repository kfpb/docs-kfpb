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05" windowHeight="7890"/>
  </bookViews>
  <sheets>
    <sheet name="Sheet1" sheetId="1" r:id="rId1"/>
  </sheets>
  <definedNames>
    <definedName name="_xlnm.Print_Area" localSheetId="0">Sheet1!$A$1:$U$28</definedName>
    <definedName name="_xlnm.Print_Titles" localSheetId="0">Sheet1!$11:$12</definedName>
  </definedNames>
  <calcPr calcId="144525"/>
</workbook>
</file>

<file path=xl/sharedStrings.xml><?xml version="1.0" encoding="utf-8"?>
<sst xmlns="http://schemas.openxmlformats.org/spreadsheetml/2006/main" count="124" uniqueCount="92">
  <si>
    <r>
      <rPr>
        <sz val="11.5"/>
        <color theme="1"/>
        <rFont val="Calibri"/>
        <charset val="134"/>
        <scheme val="minor"/>
      </rPr>
      <t xml:space="preserve">Lampiran ke-1/  </t>
    </r>
    <r>
      <rPr>
        <i/>
        <sz val="11.5"/>
        <color theme="1"/>
        <rFont val="Calibri"/>
        <charset val="134"/>
        <scheme val="minor"/>
      </rPr>
      <t>1st Attachment</t>
    </r>
  </si>
  <si>
    <r>
      <rPr>
        <sz val="11.5"/>
        <color theme="1"/>
        <rFont val="Calibri"/>
        <charset val="134"/>
        <scheme val="minor"/>
      </rPr>
      <t>No Dokumen</t>
    </r>
    <r>
      <rPr>
        <i/>
        <sz val="11.5"/>
        <color theme="1"/>
        <rFont val="Calibri"/>
        <charset val="134"/>
        <scheme val="minor"/>
      </rPr>
      <t>/ Document No.</t>
    </r>
  </si>
  <si>
    <t>F-PQS-03-008-02/04</t>
  </si>
  <si>
    <r>
      <rPr>
        <sz val="11.5"/>
        <color theme="1"/>
        <rFont val="Calibri"/>
        <charset val="134"/>
        <scheme val="minor"/>
      </rPr>
      <t>Tanggal Berlaku/</t>
    </r>
    <r>
      <rPr>
        <i/>
        <sz val="11.5"/>
        <color theme="1"/>
        <rFont val="Calibri"/>
        <charset val="134"/>
        <scheme val="minor"/>
      </rPr>
      <t xml:space="preserve"> Effective Date</t>
    </r>
  </si>
  <si>
    <r>
      <rPr>
        <b/>
        <sz val="14"/>
        <color theme="1"/>
        <rFont val="Calibri"/>
        <charset val="134"/>
        <scheme val="minor"/>
      </rPr>
      <t xml:space="preserve">FORMULIR </t>
    </r>
    <r>
      <rPr>
        <b/>
        <i/>
        <sz val="14"/>
        <color theme="1"/>
        <rFont val="Calibri"/>
        <charset val="134"/>
        <scheme val="minor"/>
      </rPr>
      <t>FAILURE MODE AND EFFECT ANALYSIS</t>
    </r>
    <r>
      <rPr>
        <b/>
        <sz val="14"/>
        <color theme="1"/>
        <rFont val="Calibri"/>
        <charset val="134"/>
        <scheme val="minor"/>
      </rPr>
      <t xml:space="preserve"> (FMEA)</t>
    </r>
  </si>
  <si>
    <t>FAILURE MODE AND EFFECT ANALYSIS (FMEA) FORM</t>
  </si>
  <si>
    <r>
      <rPr>
        <sz val="11.5"/>
        <color theme="1"/>
        <rFont val="Calibri"/>
        <charset val="134"/>
        <scheme val="minor"/>
      </rPr>
      <t xml:space="preserve">No. Kajian/ </t>
    </r>
    <r>
      <rPr>
        <i/>
        <sz val="10.5"/>
        <color theme="1"/>
        <rFont val="Calibri"/>
        <charset val="134"/>
        <scheme val="minor"/>
      </rPr>
      <t>Assessment No</t>
    </r>
  </si>
  <si>
    <r>
      <rPr>
        <sz val="11.5"/>
        <color theme="1"/>
        <rFont val="Calibri"/>
        <charset val="134"/>
        <scheme val="minor"/>
      </rPr>
      <t xml:space="preserve">Ruang lingkup/ </t>
    </r>
    <r>
      <rPr>
        <i/>
        <sz val="10.5"/>
        <color theme="1"/>
        <rFont val="Calibri"/>
        <charset val="134"/>
        <scheme val="minor"/>
      </rPr>
      <t>Scope</t>
    </r>
  </si>
  <si>
    <t>Pemindahan PL 900 dari Ruangan Capsulating-2 ke Ruangan Tableting-5</t>
  </si>
  <si>
    <t>No.</t>
  </si>
  <si>
    <r>
      <rPr>
        <sz val="11.5"/>
        <color theme="1"/>
        <rFont val="Calibri"/>
        <charset val="134"/>
        <scheme val="minor"/>
      </rPr>
      <t>Komponen</t>
    </r>
    <r>
      <rPr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Component*</t>
    </r>
  </si>
  <si>
    <r>
      <rPr>
        <sz val="11.5"/>
        <color theme="1"/>
        <rFont val="Calibri"/>
        <charset val="134"/>
        <scheme val="minor"/>
      </rPr>
      <t>Potensi Risiko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Potential Failure Mode</t>
    </r>
  </si>
  <si>
    <r>
      <rPr>
        <sz val="11.5"/>
        <color theme="1"/>
        <rFont val="Calibri"/>
        <charset val="134"/>
        <scheme val="minor"/>
      </rPr>
      <t>Efek dari Risiko</t>
    </r>
    <r>
      <rPr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Potential Failure Effect</t>
    </r>
  </si>
  <si>
    <t>S</t>
  </si>
  <si>
    <r>
      <rPr>
        <sz val="11.5"/>
        <color theme="1"/>
        <rFont val="Calibri"/>
        <charset val="134"/>
        <scheme val="minor"/>
      </rPr>
      <t>Penyebab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Potential Cause</t>
    </r>
  </si>
  <si>
    <t>O</t>
  </si>
  <si>
    <t>D</t>
  </si>
  <si>
    <t>RPN</t>
  </si>
  <si>
    <r>
      <rPr>
        <sz val="11.5"/>
        <color theme="1"/>
        <rFont val="Calibri"/>
        <charset val="134"/>
        <scheme val="minor"/>
      </rPr>
      <t>Kategori Risiko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Risk Category</t>
    </r>
  </si>
  <si>
    <r>
      <rPr>
        <sz val="11.5"/>
        <color theme="1"/>
        <rFont val="Calibri"/>
        <charset val="134"/>
        <scheme val="minor"/>
      </rPr>
      <t>Proses Pengawasan yang Diimplementasikan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Current Process Control</t>
    </r>
  </si>
  <si>
    <r>
      <rPr>
        <sz val="11.5"/>
        <color theme="1"/>
        <rFont val="Calibri"/>
        <charset val="134"/>
        <scheme val="minor"/>
      </rPr>
      <t>Tindakan yang direkomendasikan</t>
    </r>
    <r>
      <rPr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Recommended Action</t>
    </r>
  </si>
  <si>
    <r>
      <rPr>
        <sz val="11.5"/>
        <color theme="1"/>
        <rFont val="Calibri"/>
        <charset val="134"/>
        <scheme val="minor"/>
      </rPr>
      <t>Penanggungjawab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Responsibility</t>
    </r>
  </si>
  <si>
    <r>
      <rPr>
        <sz val="11.5"/>
        <color theme="1"/>
        <rFont val="Calibri"/>
        <charset val="134"/>
        <scheme val="minor"/>
      </rPr>
      <t>Batas Waktu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Target Date</t>
    </r>
  </si>
  <si>
    <r>
      <rPr>
        <sz val="11.5"/>
        <color theme="1"/>
        <rFont val="Calibri"/>
        <charset val="134"/>
        <scheme val="minor"/>
      </rPr>
      <t>Tindakan yang Diambil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Action Taken</t>
    </r>
  </si>
  <si>
    <r>
      <rPr>
        <sz val="11.5"/>
        <color theme="1"/>
        <rFont val="Calibri"/>
        <charset val="134"/>
        <scheme val="minor"/>
      </rPr>
      <t>Setelah Tindakan yang Diambil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After Action Taken</t>
    </r>
  </si>
  <si>
    <r>
      <rPr>
        <sz val="11.5"/>
        <color theme="1"/>
        <rFont val="Calibri"/>
        <charset val="134"/>
        <scheme val="minor"/>
      </rPr>
      <t>Batas Waktu Baru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New Target Date</t>
    </r>
  </si>
  <si>
    <r>
      <rPr>
        <sz val="11.5"/>
        <color theme="1"/>
        <rFont val="Calibri"/>
        <charset val="134"/>
        <scheme val="minor"/>
      </rPr>
      <t>RPN Baru</t>
    </r>
    <r>
      <rPr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New RPN</t>
    </r>
  </si>
  <si>
    <r>
      <rPr>
        <sz val="11.5"/>
        <color theme="1"/>
        <rFont val="Calibri"/>
        <charset val="134"/>
        <scheme val="minor"/>
      </rPr>
      <t>Kategori Risiko Baru</t>
    </r>
    <r>
      <rPr>
        <i/>
        <sz val="10"/>
        <color theme="1"/>
        <rFont val="Tahoma"/>
        <charset val="134"/>
      </rPr>
      <t xml:space="preserve">
</t>
    </r>
    <r>
      <rPr>
        <i/>
        <sz val="10.5"/>
        <color theme="1"/>
        <rFont val="Calibri"/>
        <charset val="134"/>
        <scheme val="minor"/>
      </rPr>
      <t>New Risk Category</t>
    </r>
  </si>
  <si>
    <t>Proses Pelepasan/Pembongkaran PL 900 dari Ruang Capsulating</t>
  </si>
  <si>
    <t>Mesin mengalami kerusakan Parah karena terjatuh atau lepas</t>
  </si>
  <si>
    <t>Mesin rusak dan tidak dapat digunakan kembali</t>
  </si>
  <si>
    <t>Pelepasan/Pembongkaran dilakukan oleh personil yang tidak kompeten, tidak menggunakan alat bantu apapun</t>
  </si>
  <si>
    <t>Pelepasan/Pembongkaran dilakukan oleh personil Teknik dan diawasi Supervisor Teknik dan Produksi</t>
  </si>
  <si>
    <t>- Mesin dibongkar/dilepaskan oleh personil yang kompeten (personil sudah diberi arahan oleh atasan terkait)
- Pembongkaran mesin diawasi oleh atasan terkait
- Dilakukan perencanaan pembongkaran terlebih dahulu serta briefing untuk teknis pembongkaran
- Menggunakan alat bantu yang dapat memudahkan pelepasan/pembongkaran</t>
  </si>
  <si>
    <t>SPV Mesin / Teknik, Produksi</t>
  </si>
  <si>
    <t>Januari 2022</t>
  </si>
  <si>
    <t>Dinding Bondoor dari Ruangan dan/atau Koridor mengalami kerusakan</t>
  </si>
  <si>
    <t>Ruangan tidak memenuhi syarat</t>
  </si>
  <si>
    <t>Pelepasan / Pembongkaran tidak menggunakan alat bantu apapun</t>
  </si>
  <si>
    <t>Untuk mencegah kerusakan ada sebagian dinding bondoor yang akan dibongkar terlebih dahulu.</t>
  </si>
  <si>
    <t>- Pemindahan mesin diawasi oleh atasan terkait
- Dilakukan perencanaan pembongkaran terlebih dahulu serta briefing untuk teknis pembongkaran
- Menggunakan alat bantu yang dapat memudahkan pelepasan/pembongkaran</t>
  </si>
  <si>
    <t>Epoxy dari Ruangan dan Koridor Mengalami Kerusakan</t>
  </si>
  <si>
    <t>- Mesin disimpan di lantai setelah pembongkaran dan menggores epoxy
- Epoxy lantai bekas PL mengalami kerusakan karena pembongkaran</t>
  </si>
  <si>
    <t xml:space="preserve">- Mesin/Part mesin yang berat tidak disimpan langsung diatas lantai epoxy tetapi menggunakan pallet terlebih dahulu bila diperlukan
- Dilakukan epoxy ulang pada lantai epoxy bekas PL900 di ruangan Capsulating-2 </t>
  </si>
  <si>
    <t>- SPV mesin / Teknik
- SPV Sipil</t>
  </si>
  <si>
    <t>Saat Pembongkaran Mesin Menabrak Mesin Capsulating atau Alat lain yang ada di Ruangan tersebut.</t>
  </si>
  <si>
    <t>Mesin Capsulating atau peralatan lain yang ada di ruangan rusak</t>
  </si>
  <si>
    <t>Ruangan Penuh dan Tidak lowong</t>
  </si>
  <si>
    <t>Ruangan Dikosongkan terlebih dahulu dari mesin dan atau alat lain yang mungkin akan mengganggu</t>
  </si>
  <si>
    <t>- Ruangan Dikosongkan
- Mesin dan alat yang tidak digunakan, dan akan dikeluarkan dari ruangan sebaiknya dibungkus plastik wrap dan diamankan</t>
  </si>
  <si>
    <t>SPV Mesin / Teknik</t>
  </si>
  <si>
    <t>Saat Proses pembongkaran ada partikel atau kotor yang membuat ruangan menjadi kotor</t>
  </si>
  <si>
    <t>Ruangan menjadi penuh partikel / debu atau menjadi kotor dan TMS untuk produksi</t>
  </si>
  <si>
    <t>Aadanya Aktivitas pembobokan, atau pembongkaran yang beresiko menimbulkan debu dan/atau pengotor lainnya</t>
  </si>
  <si>
    <t>- Minimalisir area yang akan dipenuhi debu dan disiapkan plastik / penutup
- AHU ruangan mungkin sebaiknya dimatikan dahulu baru setelah ruangan bersih kembali, AHU dinyalakan kembali</t>
  </si>
  <si>
    <t>- Dilakukan pengukuran partikel ulang setelah alat dan/atau mesin dipindahkan dan ruangan telah dibersihkan kembali</t>
  </si>
  <si>
    <t>SPV P. Tab Line II; SPV Mesin / Teknik ; SPV Kualifikasi dan Kalibrasi</t>
  </si>
  <si>
    <t>Proses Pemindahan PL 900 dari R. Capsulating-2 ke Ruang Tableting 5</t>
  </si>
  <si>
    <t>Mesin tidak dapat masuk dan/atau bermanuver ke dalam ruangan atau koridor karena tidak terlalu panjang</t>
  </si>
  <si>
    <t>Mesin menabrak dinding dan merusak dinding dan/atau mesin itu sendiri</t>
  </si>
  <si>
    <t>- Koridor penuh dengan massa cetak / tablet / Alat lain
- Akses untuk masuk mesin terbatas / tidak ada</t>
  </si>
  <si>
    <t>Diskusi terlebih dahulu terkait rencana pemindahan yang akan dilakukan untuk menentukan langkah-langkah yang akan diambil</t>
  </si>
  <si>
    <t xml:space="preserve">- Pengosongan koridor yang penuh dengan massa cetak
- Penyiapan Akses masuk, dan bila perlu alat bantu yang diperlukan
</t>
  </si>
  <si>
    <t xml:space="preserve">SPV P. Tab Line II; SPV Mesin / Teknik </t>
  </si>
  <si>
    <t>Proses Pemasangan PL 900 di Ruangan Tableting 5</t>
  </si>
  <si>
    <t>Positioning Mesin yang kurang Pas atau Kurang sesuai</t>
  </si>
  <si>
    <t>Menyulitkan personil produksi saat proses produksi dilakukan</t>
  </si>
  <si>
    <t>Positioning mesin dilakukan tanpa perhitungan</t>
  </si>
  <si>
    <t>Positioning berkaca dari mesin PL 900 pada Ruang Tableting 6 yang sudah terpasang</t>
  </si>
  <si>
    <t>Dilakukan pengecekan kebutuhan akses personil produksi ketika mesin diposisikan</t>
  </si>
  <si>
    <t>SPV Mesin / Teknik; SPV P. Tab Line II</t>
  </si>
  <si>
    <t>Menyulitkan personil maintenance saat maintenance dilakukan</t>
  </si>
  <si>
    <t>Dilakukan pengecekan kebutuhan akses personil maintenance ketika mesin diposisikan</t>
  </si>
  <si>
    <t>Instalasi Mesin tidak sesuai/pas</t>
  </si>
  <si>
    <t>Mesin tersebut tidak dapat digunakan</t>
  </si>
  <si>
    <t>- Instalasi dilakukan tanpa perhitungan
- Instalasi dilakukan oleh personil yang tidak kompeten</t>
  </si>
  <si>
    <t>Instalasi menggunakan panduan dari manual book yang tersedia</t>
  </si>
  <si>
    <t>- Personil didampingi oleh personil produksi / teknik / kualifikasi yang cukup memahami mesin tersebut</t>
  </si>
  <si>
    <t>SPV Kualifikasi &amp; Kalibrasi 
SPV Teknik
SPV P. Tab Line II</t>
  </si>
  <si>
    <t>Saat Proses Pemasangan/Instalasi, Menabrak Mesin Kilian-5 atau Alat lain yang ada di Ruangan tersebut.</t>
  </si>
  <si>
    <t>Mesin Kilian 5 KTP 720 atau peralatan lain yang ada di ruangan rusak</t>
  </si>
  <si>
    <t>Saat Proses Pemasangan/Instalasi ada partikel atau kotor yang membuat ruangan menjadi kotor</t>
  </si>
  <si>
    <t>Aadanya Aktivitas pengeboran, atau bahkan pembobokan lantai epoxy bahkan mungkin epoxy ulang yang beresiko menimbulkan debu dan/atau pengotor lainnya</t>
  </si>
  <si>
    <r>
      <rPr>
        <sz val="11.5"/>
        <color theme="1"/>
        <rFont val="Calibri"/>
        <charset val="134"/>
        <scheme val="minor"/>
      </rPr>
      <t xml:space="preserve">Keterangan/ </t>
    </r>
    <r>
      <rPr>
        <i/>
        <sz val="10.5"/>
        <color theme="1"/>
        <rFont val="Calibri"/>
        <charset val="134"/>
        <scheme val="minor"/>
      </rPr>
      <t>Information</t>
    </r>
    <r>
      <rPr>
        <sz val="10.5"/>
        <color theme="1"/>
        <rFont val="Calibri"/>
        <charset val="134"/>
        <scheme val="minor"/>
      </rPr>
      <t>:</t>
    </r>
    <r>
      <rPr>
        <sz val="11.5"/>
        <color theme="1"/>
        <rFont val="Calibri"/>
        <charset val="134"/>
        <scheme val="minor"/>
      </rPr>
      <t xml:space="preserve">
*Komponen dapat berupa sistem, proses, atau produk
</t>
    </r>
    <r>
      <rPr>
        <i/>
        <sz val="10.5"/>
        <color theme="1"/>
        <rFont val="Calibri"/>
        <charset val="134"/>
        <scheme val="minor"/>
      </rPr>
      <t>* Componet can be systems, processes, or products</t>
    </r>
    <r>
      <rPr>
        <i/>
        <sz val="11.5"/>
        <color theme="1"/>
        <rFont val="Calibri"/>
        <charset val="134"/>
        <scheme val="minor"/>
      </rPr>
      <t xml:space="preserve">
</t>
    </r>
    <r>
      <rPr>
        <sz val="11.5"/>
        <color theme="1"/>
        <rFont val="Calibri"/>
        <charset val="134"/>
        <scheme val="minor"/>
      </rPr>
      <t xml:space="preserve">S: Keparahan/ </t>
    </r>
    <r>
      <rPr>
        <i/>
        <sz val="10.5"/>
        <color theme="1"/>
        <rFont val="Calibri"/>
        <charset val="134"/>
        <scheme val="minor"/>
      </rPr>
      <t>severity</t>
    </r>
    <r>
      <rPr>
        <i/>
        <sz val="11.5"/>
        <color theme="1"/>
        <rFont val="Calibri"/>
        <charset val="134"/>
        <scheme val="minor"/>
      </rPr>
      <t xml:space="preserve"> </t>
    </r>
    <r>
      <rPr>
        <sz val="11.5"/>
        <color theme="1"/>
        <rFont val="Calibri"/>
        <charset val="134"/>
        <scheme val="minor"/>
      </rPr>
      <t xml:space="preserve">
O: Peluang/ </t>
    </r>
    <r>
      <rPr>
        <i/>
        <sz val="10.5"/>
        <color theme="1"/>
        <rFont val="Calibri"/>
        <charset val="134"/>
        <scheme val="minor"/>
      </rPr>
      <t>occurrence</t>
    </r>
    <r>
      <rPr>
        <sz val="11.5"/>
        <color theme="1"/>
        <rFont val="Calibri"/>
        <charset val="134"/>
        <scheme val="minor"/>
      </rPr>
      <t xml:space="preserve">
D: Deteksi/ </t>
    </r>
    <r>
      <rPr>
        <i/>
        <sz val="10.5"/>
        <color theme="1"/>
        <rFont val="Calibri"/>
        <charset val="134"/>
        <scheme val="minor"/>
      </rPr>
      <t>detection</t>
    </r>
    <r>
      <rPr>
        <sz val="11.5"/>
        <color theme="1"/>
        <rFont val="Calibri"/>
        <charset val="134"/>
        <scheme val="minor"/>
      </rPr>
      <t xml:space="preserve">
</t>
    </r>
  </si>
  <si>
    <r>
      <rPr>
        <sz val="11.5"/>
        <color theme="1"/>
        <rFont val="Calibri"/>
        <charset val="134"/>
        <scheme val="minor"/>
      </rPr>
      <t xml:space="preserve">Disusun oleh/ </t>
    </r>
    <r>
      <rPr>
        <i/>
        <sz val="11.5"/>
        <color theme="1"/>
        <rFont val="Calibri"/>
        <charset val="134"/>
        <scheme val="minor"/>
      </rPr>
      <t>Prepared by</t>
    </r>
    <r>
      <rPr>
        <sz val="11.5"/>
        <color theme="1"/>
        <rFont val="Calibri"/>
        <charset val="134"/>
        <scheme val="minor"/>
      </rPr>
      <t xml:space="preserve"> :</t>
    </r>
  </si>
  <si>
    <r>
      <rPr>
        <sz val="11.5"/>
        <color theme="1"/>
        <rFont val="Calibri"/>
        <charset val="134"/>
        <scheme val="minor"/>
      </rPr>
      <t xml:space="preserve">Diperiksa oleh/ </t>
    </r>
    <r>
      <rPr>
        <i/>
        <sz val="11.5"/>
        <color theme="1"/>
        <rFont val="Calibri"/>
        <charset val="134"/>
        <scheme val="minor"/>
      </rPr>
      <t>Checked by</t>
    </r>
    <r>
      <rPr>
        <sz val="11.5"/>
        <color theme="1"/>
        <rFont val="Calibri"/>
        <charset val="134"/>
        <scheme val="minor"/>
      </rPr>
      <t xml:space="preserve"> :</t>
    </r>
  </si>
  <si>
    <r>
      <rPr>
        <sz val="11.5"/>
        <color theme="1"/>
        <rFont val="Calibri"/>
        <charset val="134"/>
        <scheme val="minor"/>
      </rPr>
      <t xml:space="preserve">Disahkan oleh/ </t>
    </r>
    <r>
      <rPr>
        <i/>
        <sz val="11.5"/>
        <color theme="1"/>
        <rFont val="Calibri"/>
        <charset val="134"/>
        <scheme val="minor"/>
      </rPr>
      <t>Approved by</t>
    </r>
    <r>
      <rPr>
        <sz val="11.5"/>
        <color theme="1"/>
        <rFont val="Calibri"/>
        <charset val="134"/>
        <scheme val="minor"/>
      </rPr>
      <t xml:space="preserve"> :</t>
    </r>
  </si>
  <si>
    <t>Tanggal ….......................................</t>
  </si>
  <si>
    <t xml:space="preserve">Tanggal ….......................................                       </t>
  </si>
  <si>
    <t>(</t>
  </si>
  <si>
    <t>)</t>
  </si>
  <si>
    <t>MPM</t>
  </si>
</sst>
</file>

<file path=xl/styles.xml><?xml version="1.0" encoding="utf-8"?>
<styleSheet xmlns="http://schemas.openxmlformats.org/spreadsheetml/2006/main">
  <numFmts count="6">
    <numFmt numFmtId="176" formatCode="@\ * &quot;:&quot;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[$-13C09]d\ mmm\ yyyy;@"/>
    <numFmt numFmtId="179" formatCode="_ * #,##0_ ;_ * \-#,##0_ ;_ * &quot;-&quot;_ ;_ @_ "/>
    <numFmt numFmtId="42" formatCode="_(&quot;$&quot;* #,##0_);_(&quot;$&quot;* \(#,##0\);_(&quot;$&quot;* &quot;-&quot;_);_(@_)"/>
  </numFmts>
  <fonts count="33">
    <font>
      <sz val="11"/>
      <color theme="1"/>
      <name val="Calibri"/>
      <charset val="1"/>
      <scheme val="minor"/>
    </font>
    <font>
      <sz val="11"/>
      <color theme="1"/>
      <name val="Tahoma"/>
      <charset val="134"/>
    </font>
    <font>
      <sz val="11"/>
      <color theme="1"/>
      <name val="Calibri"/>
      <charset val="134"/>
      <scheme val="minor"/>
    </font>
    <font>
      <sz val="10"/>
      <color theme="1"/>
      <name val="Tahoma"/>
      <charset val="134"/>
    </font>
    <font>
      <sz val="11.5"/>
      <color theme="1"/>
      <name val="Calibri"/>
      <charset val="134"/>
      <scheme val="minor"/>
    </font>
    <font>
      <i/>
      <sz val="11.5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0"/>
      <color theme="1"/>
      <name val="Tahoma"/>
      <charset val="134"/>
    </font>
    <font>
      <sz val="10"/>
      <color theme="1"/>
      <name val="Calibri"/>
      <charset val="134"/>
      <scheme val="minor"/>
    </font>
    <font>
      <sz val="11"/>
      <color rgb="FF000000"/>
      <name val="Tahoma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i/>
      <sz val="14"/>
      <color theme="1"/>
      <name val="Calibri"/>
      <charset val="134"/>
      <scheme val="minor"/>
    </font>
    <font>
      <i/>
      <sz val="10.5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0" fillId="0" borderId="0"/>
    <xf numFmtId="0" fontId="16" fillId="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1" fillId="6" borderId="20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8" borderId="23" applyNumberFormat="0" applyFont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2" fillId="2" borderId="1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0" fontId="0" fillId="0" borderId="0" xfId="0" applyFill="1" applyBorder="1"/>
    <xf numFmtId="0" fontId="2" fillId="0" borderId="0" xfId="0" applyFont="1"/>
    <xf numFmtId="0" fontId="0" fillId="0" borderId="0" xfId="0" applyBorder="1"/>
    <xf numFmtId="0" fontId="0" fillId="0" borderId="0" xfId="0" applyAlignment="1"/>
    <xf numFmtId="178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76" fontId="5" fillId="0" borderId="4" xfId="0" applyNumberFormat="1" applyFont="1" applyBorder="1" applyAlignment="1">
      <alignment vertical="center"/>
    </xf>
    <xf numFmtId="176" fontId="5" fillId="0" borderId="0" xfId="0" applyNumberFormat="1" applyFont="1" applyBorder="1" applyAlignment="1">
      <alignment vertical="center"/>
    </xf>
    <xf numFmtId="0" fontId="4" fillId="0" borderId="0" xfId="0" applyFont="1" applyBorder="1"/>
    <xf numFmtId="0" fontId="4" fillId="0" borderId="5" xfId="0" applyFont="1" applyBorder="1" applyAlignment="1">
      <alignment vertical="center" wrapText="1"/>
    </xf>
    <xf numFmtId="176" fontId="4" fillId="0" borderId="6" xfId="0" applyNumberFormat="1" applyFont="1" applyBorder="1" applyAlignment="1">
      <alignment vertical="center"/>
    </xf>
    <xf numFmtId="176" fontId="4" fillId="0" borderId="7" xfId="0" applyNumberFormat="1" applyFont="1" applyBorder="1" applyAlignment="1">
      <alignment vertical="center"/>
    </xf>
    <xf numFmtId="178" fontId="4" fillId="0" borderId="7" xfId="0" applyNumberFormat="1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/>
    <xf numFmtId="0" fontId="4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6" fontId="4" fillId="0" borderId="0" xfId="0" applyNumberFormat="1" applyFont="1" applyAlignment="1">
      <alignment vertical="center"/>
    </xf>
    <xf numFmtId="0" fontId="1" fillId="0" borderId="0" xfId="1" applyFont="1"/>
    <xf numFmtId="0" fontId="3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10" xfId="1" applyFont="1" applyBorder="1" applyAlignment="1">
      <alignment vertical="top"/>
    </xf>
    <xf numFmtId="0" fontId="1" fillId="0" borderId="10" xfId="1" applyFont="1" applyBorder="1" applyAlignment="1">
      <alignment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1" xfId="1" applyFont="1" applyBorder="1" applyAlignment="1">
      <alignment vertical="top"/>
    </xf>
    <xf numFmtId="0" fontId="1" fillId="0" borderId="12" xfId="0" applyFont="1" applyBorder="1" applyAlignment="1">
      <alignment horizontal="left" vertical="top" wrapText="1"/>
    </xf>
    <xf numFmtId="0" fontId="1" fillId="0" borderId="9" xfId="1" applyFont="1" applyBorder="1" applyAlignment="1">
      <alignment vertical="top" wrapText="1"/>
    </xf>
    <xf numFmtId="0" fontId="1" fillId="0" borderId="11" xfId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/>
    <xf numFmtId="0" fontId="4" fillId="0" borderId="0" xfId="0" applyFont="1" applyAlignment="1">
      <alignment horizontal="left" vertical="center" wrapText="1" indent="1"/>
    </xf>
    <xf numFmtId="0" fontId="1" fillId="0" borderId="9" xfId="0" applyFont="1" applyBorder="1" applyAlignment="1">
      <alignment horizontal="center"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 wrapText="1"/>
    </xf>
    <xf numFmtId="0" fontId="1" fillId="0" borderId="14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/>
    </xf>
    <xf numFmtId="178" fontId="4" fillId="0" borderId="0" xfId="0" applyNumberFormat="1" applyFont="1"/>
    <xf numFmtId="178" fontId="8" fillId="0" borderId="9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78" fontId="1" fillId="0" borderId="9" xfId="1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center" wrapText="1"/>
    </xf>
    <xf numFmtId="178" fontId="0" fillId="0" borderId="0" xfId="0" applyNumberFormat="1" applyFill="1" applyBorder="1"/>
    <xf numFmtId="178" fontId="9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178" fontId="9" fillId="0" borderId="0" xfId="0" applyNumberFormat="1" applyFont="1" applyAlignment="1">
      <alignment wrapText="1"/>
    </xf>
    <xf numFmtId="178" fontId="0" fillId="0" borderId="0" xfId="0" applyNumberFormat="1" applyBorder="1"/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3" fillId="0" borderId="0" xfId="0" applyFont="1" applyBorder="1" applyAlignment="1">
      <alignment horizontal="center" vertical="center"/>
    </xf>
    <xf numFmtId="0" fontId="1" fillId="0" borderId="9" xfId="0" applyFont="1" applyBorder="1" applyAlignment="1" quotePrefix="1">
      <alignment horizontal="left" vertical="top" wrapText="1"/>
    </xf>
    <xf numFmtId="0" fontId="1" fillId="0" borderId="9" xfId="0" applyFont="1" applyBorder="1" applyAlignment="1" quotePrefix="1">
      <alignment horizontal="center" vertical="top" wrapText="1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710045</xdr:colOff>
      <xdr:row>0</xdr:row>
      <xdr:rowOff>40820</xdr:rowOff>
    </xdr:from>
    <xdr:to>
      <xdr:col>20</xdr:col>
      <xdr:colOff>1345204</xdr:colOff>
      <xdr:row>3</xdr:row>
      <xdr:rowOff>154131</xdr:rowOff>
    </xdr:to>
    <xdr:pic>
      <xdr:nvPicPr>
        <xdr:cNvPr id="2" name="Picture 1" descr="C:\Users\admin\AppData\Local\Microsoft\Windows\INetCache\Content.Word\kf plant banjaran logo png.png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23226395" y="40640"/>
          <a:ext cx="1614170" cy="722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2"/>
  <sheetViews>
    <sheetView tabSelected="1" view="pageBreakPreview" zoomScale="85" zoomScaleNormal="70" workbookViewId="0">
      <selection activeCell="B1" sqref="A1:B1"/>
    </sheetView>
  </sheetViews>
  <sheetFormatPr defaultColWidth="9" defaultRowHeight="15.75"/>
  <cols>
    <col min="1" max="1" width="5.14074074074074" customWidth="1"/>
    <col min="2" max="2" width="31.2814814814815" style="5" customWidth="1"/>
    <col min="3" max="4" width="15.7111111111111" customWidth="1"/>
    <col min="5" max="5" width="8.71111111111111" customWidth="1"/>
    <col min="6" max="6" width="18.7111111111111" customWidth="1"/>
    <col min="7" max="9" width="8.71111111111111" customWidth="1"/>
    <col min="10" max="10" width="13" customWidth="1"/>
    <col min="11" max="11" width="20" customWidth="1"/>
    <col min="12" max="12" width="20.7111111111111" customWidth="1"/>
    <col min="13" max="13" width="21.2814814814815" customWidth="1"/>
    <col min="14" max="14" width="15.7111111111111" style="6" customWidth="1"/>
    <col min="15" max="15" width="15.7111111111111" customWidth="1"/>
    <col min="16" max="19" width="8.71111111111111" customWidth="1"/>
    <col min="20" max="20" width="11.4222222222222" customWidth="1"/>
    <col min="21" max="21" width="21.4222222222222" style="7" customWidth="1"/>
    <col min="22" max="25" width="9.14074074074074" style="7"/>
  </cols>
  <sheetData>
    <row r="1" customHeight="1" spans="1:19">
      <c r="A1" s="8" t="s">
        <v>0</v>
      </c>
      <c r="B1" s="9"/>
      <c r="C1" s="10"/>
      <c r="D1" s="11"/>
      <c r="E1" s="20"/>
      <c r="F1" s="20"/>
      <c r="G1" s="20"/>
      <c r="H1" s="20"/>
      <c r="I1" s="20"/>
      <c r="J1" s="20"/>
      <c r="K1" s="20"/>
      <c r="L1" s="20"/>
      <c r="M1" s="20"/>
      <c r="N1" s="53"/>
      <c r="O1" s="20"/>
      <c r="P1" s="20"/>
      <c r="Q1" s="20"/>
      <c r="R1" s="20"/>
      <c r="S1" s="20"/>
    </row>
    <row r="2" spans="1:19">
      <c r="A2" s="12" t="s">
        <v>1</v>
      </c>
      <c r="B2" s="13"/>
      <c r="C2" s="14" t="s">
        <v>2</v>
      </c>
      <c r="D2" s="15"/>
      <c r="E2" s="20"/>
      <c r="F2" s="47"/>
      <c r="G2" s="20"/>
      <c r="H2" s="20"/>
      <c r="I2" s="20"/>
      <c r="J2" s="20"/>
      <c r="K2" s="20"/>
      <c r="L2" s="20"/>
      <c r="M2" s="20"/>
      <c r="N2" s="53"/>
      <c r="O2" s="20"/>
      <c r="P2" s="20"/>
      <c r="Q2" s="20"/>
      <c r="R2" s="20"/>
      <c r="S2" s="20"/>
    </row>
    <row r="3" ht="16.5" spans="1:19">
      <c r="A3" s="16" t="s">
        <v>3</v>
      </c>
      <c r="B3" s="17"/>
      <c r="C3" s="18">
        <v>44361</v>
      </c>
      <c r="D3" s="19"/>
      <c r="E3" s="20"/>
      <c r="F3" s="20"/>
      <c r="G3" s="20"/>
      <c r="H3" s="20"/>
      <c r="I3" s="20"/>
      <c r="J3" s="20"/>
      <c r="K3" s="20"/>
      <c r="L3" s="20"/>
      <c r="M3" s="20"/>
      <c r="N3" s="53"/>
      <c r="O3" s="20"/>
      <c r="P3" s="20"/>
      <c r="Q3" s="20"/>
      <c r="R3" s="20"/>
      <c r="S3" s="20"/>
    </row>
    <row r="4" spans="1:19">
      <c r="A4" s="20"/>
      <c r="B4" s="21"/>
      <c r="C4" s="20"/>
      <c r="D4" s="20"/>
      <c r="E4" s="47"/>
      <c r="F4" s="20"/>
      <c r="G4" s="20"/>
      <c r="H4" s="20"/>
      <c r="I4" s="20"/>
      <c r="J4" s="20"/>
      <c r="K4" s="20"/>
      <c r="L4" s="20"/>
      <c r="M4" s="20"/>
      <c r="N4" s="53"/>
      <c r="O4" s="20"/>
      <c r="P4" s="20"/>
      <c r="Q4" s="20"/>
      <c r="R4" s="20"/>
      <c r="S4" s="20"/>
    </row>
    <row r="5" ht="18" spans="1:21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 ht="18" customHeight="1" spans="1:21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1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53"/>
      <c r="O7" s="20"/>
      <c r="P7" s="20"/>
      <c r="Q7" s="20"/>
      <c r="R7" s="20"/>
      <c r="S7" s="20"/>
    </row>
    <row r="8" spans="1:19">
      <c r="A8" s="24" t="s">
        <v>6</v>
      </c>
      <c r="B8" s="2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3"/>
      <c r="O8" s="20"/>
      <c r="P8" s="20"/>
      <c r="Q8" s="20"/>
      <c r="R8" s="20"/>
      <c r="S8" s="20"/>
    </row>
    <row r="9" spans="1:19">
      <c r="A9" s="24" t="s">
        <v>7</v>
      </c>
      <c r="B9" s="24"/>
      <c r="C9" s="25" t="s">
        <v>8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53"/>
      <c r="O9" s="20"/>
      <c r="P9" s="20"/>
      <c r="Q9" s="20"/>
      <c r="R9" s="20"/>
      <c r="S9" s="20"/>
    </row>
    <row r="11" ht="71.25" customHeight="1" spans="1:21">
      <c r="A11" s="26" t="s">
        <v>9</v>
      </c>
      <c r="B11" s="27" t="s">
        <v>10</v>
      </c>
      <c r="C11" s="27" t="s">
        <v>11</v>
      </c>
      <c r="D11" s="27" t="s">
        <v>12</v>
      </c>
      <c r="E11" s="26" t="s">
        <v>13</v>
      </c>
      <c r="F11" s="27" t="s">
        <v>14</v>
      </c>
      <c r="G11" s="26" t="s">
        <v>15</v>
      </c>
      <c r="H11" s="26" t="s">
        <v>16</v>
      </c>
      <c r="I11" s="26" t="s">
        <v>17</v>
      </c>
      <c r="J11" s="27" t="s">
        <v>18</v>
      </c>
      <c r="K11" s="27" t="s">
        <v>19</v>
      </c>
      <c r="L11" s="27" t="s">
        <v>20</v>
      </c>
      <c r="M11" s="27" t="s">
        <v>21</v>
      </c>
      <c r="N11" s="54" t="s">
        <v>22</v>
      </c>
      <c r="O11" s="27" t="s">
        <v>23</v>
      </c>
      <c r="P11" s="55" t="s">
        <v>24</v>
      </c>
      <c r="Q11" s="64"/>
      <c r="R11" s="64"/>
      <c r="S11" s="64"/>
      <c r="T11" s="65"/>
      <c r="U11" s="27" t="s">
        <v>25</v>
      </c>
    </row>
    <row r="12" ht="58.5" spans="1:21">
      <c r="A12" s="26"/>
      <c r="B12" s="27"/>
      <c r="C12" s="27"/>
      <c r="D12" s="27"/>
      <c r="E12" s="26"/>
      <c r="F12" s="27"/>
      <c r="G12" s="26"/>
      <c r="H12" s="26"/>
      <c r="I12" s="26"/>
      <c r="J12" s="27"/>
      <c r="K12" s="27"/>
      <c r="L12" s="27"/>
      <c r="M12" s="27"/>
      <c r="N12" s="54"/>
      <c r="O12" s="27"/>
      <c r="P12" s="26" t="s">
        <v>13</v>
      </c>
      <c r="Q12" s="26" t="s">
        <v>15</v>
      </c>
      <c r="R12" s="26" t="s">
        <v>16</v>
      </c>
      <c r="S12" s="27" t="s">
        <v>26</v>
      </c>
      <c r="T12" s="27" t="s">
        <v>27</v>
      </c>
      <c r="U12" s="66"/>
    </row>
    <row r="13" s="1" customFormat="1" ht="225" customHeight="1" spans="1:25">
      <c r="A13" s="28">
        <v>1</v>
      </c>
      <c r="B13" s="29" t="s">
        <v>28</v>
      </c>
      <c r="C13" s="30" t="s">
        <v>29</v>
      </c>
      <c r="D13" s="30" t="s">
        <v>30</v>
      </c>
      <c r="E13" s="48">
        <v>4</v>
      </c>
      <c r="F13" s="30" t="s">
        <v>31</v>
      </c>
      <c r="G13" s="48">
        <v>2</v>
      </c>
      <c r="H13" s="48">
        <v>1</v>
      </c>
      <c r="I13" s="51">
        <f t="shared" ref="I13:I16" si="0">E13*G13*H13</f>
        <v>8</v>
      </c>
      <c r="J13" s="52" t="str">
        <f t="shared" ref="J13:J16" si="1">IF(E13*G13&lt;=4,"Minor",IF(E13*G13&lt;13,"Major","Critical"))</f>
        <v>Major</v>
      </c>
      <c r="K13" s="30" t="s">
        <v>32</v>
      </c>
      <c r="L13" s="73" t="s">
        <v>33</v>
      </c>
      <c r="M13" s="48" t="s">
        <v>34</v>
      </c>
      <c r="N13" s="56" t="s">
        <v>35</v>
      </c>
      <c r="O13" s="57"/>
      <c r="P13" s="58"/>
      <c r="Q13" s="58"/>
      <c r="R13" s="58"/>
      <c r="S13" s="58"/>
      <c r="T13" s="58"/>
      <c r="U13" s="67"/>
      <c r="V13" s="68"/>
      <c r="W13" s="68"/>
      <c r="X13" s="68"/>
      <c r="Y13" s="68"/>
    </row>
    <row r="14" s="1" customFormat="1" ht="129" customHeight="1" spans="1:25">
      <c r="A14" s="31"/>
      <c r="B14" s="31"/>
      <c r="C14" s="32" t="s">
        <v>36</v>
      </c>
      <c r="D14" s="30" t="s">
        <v>37</v>
      </c>
      <c r="E14" s="48">
        <v>4</v>
      </c>
      <c r="F14" s="30" t="s">
        <v>38</v>
      </c>
      <c r="G14" s="48">
        <v>1</v>
      </c>
      <c r="H14" s="48">
        <v>1</v>
      </c>
      <c r="I14" s="51">
        <f t="shared" si="0"/>
        <v>4</v>
      </c>
      <c r="J14" s="52" t="str">
        <f t="shared" si="1"/>
        <v>Minor</v>
      </c>
      <c r="K14" s="30" t="s">
        <v>39</v>
      </c>
      <c r="L14" s="73" t="s">
        <v>40</v>
      </c>
      <c r="M14" s="48" t="s">
        <v>34</v>
      </c>
      <c r="N14" s="56" t="s">
        <v>35</v>
      </c>
      <c r="O14" s="57"/>
      <c r="P14" s="58"/>
      <c r="Q14" s="58"/>
      <c r="R14" s="58"/>
      <c r="S14" s="58"/>
      <c r="T14" s="58"/>
      <c r="U14" s="67"/>
      <c r="V14" s="68"/>
      <c r="W14" s="68"/>
      <c r="X14" s="68"/>
      <c r="Y14" s="68"/>
    </row>
    <row r="15" s="1" customFormat="1" ht="165" customHeight="1" spans="1:25">
      <c r="A15" s="31"/>
      <c r="B15" s="31"/>
      <c r="C15" s="32" t="s">
        <v>41</v>
      </c>
      <c r="D15" s="30" t="s">
        <v>37</v>
      </c>
      <c r="E15" s="48">
        <v>4</v>
      </c>
      <c r="F15" s="73" t="s">
        <v>42</v>
      </c>
      <c r="G15" s="48">
        <v>3</v>
      </c>
      <c r="H15" s="48">
        <v>1</v>
      </c>
      <c r="I15" s="51">
        <f t="shared" si="0"/>
        <v>12</v>
      </c>
      <c r="J15" s="52" t="str">
        <f t="shared" si="1"/>
        <v>Major</v>
      </c>
      <c r="K15" s="30" t="s">
        <v>32</v>
      </c>
      <c r="L15" s="73" t="s">
        <v>43</v>
      </c>
      <c r="M15" s="74" t="s">
        <v>44</v>
      </c>
      <c r="N15" s="56" t="s">
        <v>35</v>
      </c>
      <c r="O15" s="57"/>
      <c r="P15" s="58"/>
      <c r="Q15" s="58"/>
      <c r="R15" s="58"/>
      <c r="S15" s="58"/>
      <c r="T15" s="58"/>
      <c r="U15" s="67"/>
      <c r="V15" s="68"/>
      <c r="W15" s="68"/>
      <c r="X15" s="68"/>
      <c r="Y15" s="68"/>
    </row>
    <row r="16" s="1" customFormat="1" ht="129" customHeight="1" spans="1:25">
      <c r="A16" s="31"/>
      <c r="B16" s="31"/>
      <c r="C16" s="32" t="s">
        <v>45</v>
      </c>
      <c r="D16" s="30" t="s">
        <v>46</v>
      </c>
      <c r="E16" s="48">
        <v>4</v>
      </c>
      <c r="F16" s="30" t="s">
        <v>47</v>
      </c>
      <c r="G16" s="48">
        <v>2</v>
      </c>
      <c r="H16" s="48">
        <v>2</v>
      </c>
      <c r="I16" s="51">
        <f t="shared" si="0"/>
        <v>16</v>
      </c>
      <c r="J16" s="52" t="str">
        <f t="shared" si="1"/>
        <v>Major</v>
      </c>
      <c r="K16" s="30" t="s">
        <v>48</v>
      </c>
      <c r="L16" s="73" t="s">
        <v>49</v>
      </c>
      <c r="M16" s="48" t="s">
        <v>50</v>
      </c>
      <c r="N16" s="56" t="s">
        <v>35</v>
      </c>
      <c r="O16" s="57"/>
      <c r="P16" s="58"/>
      <c r="Q16" s="58"/>
      <c r="R16" s="58"/>
      <c r="S16" s="58"/>
      <c r="T16" s="58"/>
      <c r="U16" s="67"/>
      <c r="V16" s="68"/>
      <c r="W16" s="68"/>
      <c r="X16" s="68"/>
      <c r="Y16" s="68"/>
    </row>
    <row r="17" s="1" customFormat="1" ht="129" customHeight="1" spans="1:25">
      <c r="A17" s="31"/>
      <c r="B17" s="31"/>
      <c r="C17" s="32" t="s">
        <v>51</v>
      </c>
      <c r="D17" s="30" t="s">
        <v>52</v>
      </c>
      <c r="E17" s="48">
        <v>4</v>
      </c>
      <c r="F17" s="30" t="s">
        <v>53</v>
      </c>
      <c r="G17" s="48">
        <v>2</v>
      </c>
      <c r="H17" s="48">
        <v>3</v>
      </c>
      <c r="I17" s="51">
        <f t="shared" ref="I17:I24" si="2">E17*G17*H17</f>
        <v>24</v>
      </c>
      <c r="J17" s="52" t="str">
        <f t="shared" ref="J17:J24" si="3">IF(E17*G17&lt;=4,"Minor",IF(E17*G17&lt;13,"Major","Critical"))</f>
        <v>Major</v>
      </c>
      <c r="K17" s="73" t="s">
        <v>54</v>
      </c>
      <c r="L17" s="73" t="s">
        <v>55</v>
      </c>
      <c r="M17" s="48" t="s">
        <v>56</v>
      </c>
      <c r="N17" s="56" t="s">
        <v>35</v>
      </c>
      <c r="O17" s="57"/>
      <c r="P17" s="58"/>
      <c r="Q17" s="58"/>
      <c r="R17" s="58"/>
      <c r="S17" s="58"/>
      <c r="T17" s="58"/>
      <c r="U17" s="67"/>
      <c r="V17" s="68"/>
      <c r="W17" s="68"/>
      <c r="X17" s="68"/>
      <c r="Y17" s="68"/>
    </row>
    <row r="18" s="1" customFormat="1" ht="129" customHeight="1" spans="1:25">
      <c r="A18" s="31">
        <v>2</v>
      </c>
      <c r="B18" s="33" t="s">
        <v>57</v>
      </c>
      <c r="C18" s="32" t="s">
        <v>58</v>
      </c>
      <c r="D18" s="30" t="s">
        <v>59</v>
      </c>
      <c r="E18" s="48">
        <v>4</v>
      </c>
      <c r="F18" s="73" t="s">
        <v>60</v>
      </c>
      <c r="G18" s="48">
        <v>2</v>
      </c>
      <c r="H18" s="48">
        <v>2</v>
      </c>
      <c r="I18" s="51">
        <f t="shared" si="2"/>
        <v>16</v>
      </c>
      <c r="J18" s="52" t="str">
        <f t="shared" si="3"/>
        <v>Major</v>
      </c>
      <c r="K18" s="30" t="s">
        <v>61</v>
      </c>
      <c r="L18" s="73" t="s">
        <v>62</v>
      </c>
      <c r="M18" s="48" t="s">
        <v>63</v>
      </c>
      <c r="N18" s="56" t="s">
        <v>35</v>
      </c>
      <c r="O18" s="57"/>
      <c r="P18" s="58"/>
      <c r="Q18" s="58"/>
      <c r="R18" s="58"/>
      <c r="S18" s="58"/>
      <c r="T18" s="58"/>
      <c r="U18" s="67"/>
      <c r="V18" s="68"/>
      <c r="W18" s="68"/>
      <c r="X18" s="68"/>
      <c r="Y18" s="68"/>
    </row>
    <row r="19" s="1" customFormat="1" ht="129" customHeight="1" spans="1:25">
      <c r="A19" s="31">
        <v>3</v>
      </c>
      <c r="B19" s="34" t="s">
        <v>64</v>
      </c>
      <c r="C19" s="35" t="s">
        <v>65</v>
      </c>
      <c r="D19" s="30" t="s">
        <v>66</v>
      </c>
      <c r="E19" s="48">
        <v>3</v>
      </c>
      <c r="F19" s="30" t="s">
        <v>67</v>
      </c>
      <c r="G19" s="48">
        <v>2</v>
      </c>
      <c r="H19" s="48">
        <v>1</v>
      </c>
      <c r="I19" s="51">
        <f t="shared" si="2"/>
        <v>6</v>
      </c>
      <c r="J19" s="52" t="str">
        <f t="shared" si="3"/>
        <v>Major</v>
      </c>
      <c r="K19" s="30" t="s">
        <v>68</v>
      </c>
      <c r="L19" s="30" t="s">
        <v>69</v>
      </c>
      <c r="M19" s="48" t="s">
        <v>70</v>
      </c>
      <c r="N19" s="56" t="s">
        <v>35</v>
      </c>
      <c r="O19" s="57"/>
      <c r="P19" s="58"/>
      <c r="Q19" s="58"/>
      <c r="R19" s="58"/>
      <c r="S19" s="58"/>
      <c r="T19" s="58"/>
      <c r="U19" s="67"/>
      <c r="V19" s="68"/>
      <c r="W19" s="68"/>
      <c r="X19" s="68"/>
      <c r="Y19" s="68"/>
    </row>
    <row r="20" s="1" customFormat="1" ht="129" customHeight="1" spans="1:25">
      <c r="A20" s="31"/>
      <c r="B20" s="31"/>
      <c r="C20" s="36"/>
      <c r="D20" s="30" t="s">
        <v>71</v>
      </c>
      <c r="E20" s="48">
        <v>3</v>
      </c>
      <c r="F20" s="30" t="s">
        <v>67</v>
      </c>
      <c r="G20" s="48">
        <v>2</v>
      </c>
      <c r="H20" s="48">
        <v>1</v>
      </c>
      <c r="I20" s="51">
        <f t="shared" si="2"/>
        <v>6</v>
      </c>
      <c r="J20" s="52" t="str">
        <f t="shared" si="3"/>
        <v>Major</v>
      </c>
      <c r="K20" s="30" t="s">
        <v>68</v>
      </c>
      <c r="L20" s="30" t="s">
        <v>72</v>
      </c>
      <c r="M20" s="48" t="s">
        <v>70</v>
      </c>
      <c r="N20" s="56" t="s">
        <v>35</v>
      </c>
      <c r="O20" s="57"/>
      <c r="P20" s="58"/>
      <c r="Q20" s="58"/>
      <c r="R20" s="58"/>
      <c r="S20" s="58"/>
      <c r="T20" s="58"/>
      <c r="U20" s="67"/>
      <c r="V20" s="68"/>
      <c r="W20" s="68"/>
      <c r="X20" s="68"/>
      <c r="Y20" s="68"/>
    </row>
    <row r="21" s="1" customFormat="1" ht="129" customHeight="1" spans="1:25">
      <c r="A21" s="31"/>
      <c r="B21" s="31"/>
      <c r="C21" s="37" t="s">
        <v>73</v>
      </c>
      <c r="D21" s="30" t="s">
        <v>74</v>
      </c>
      <c r="E21" s="48">
        <v>4</v>
      </c>
      <c r="F21" s="73" t="s">
        <v>75</v>
      </c>
      <c r="G21" s="48">
        <v>2</v>
      </c>
      <c r="H21" s="48">
        <v>2</v>
      </c>
      <c r="I21" s="51">
        <f t="shared" si="2"/>
        <v>16</v>
      </c>
      <c r="J21" s="52" t="str">
        <f t="shared" si="3"/>
        <v>Major</v>
      </c>
      <c r="K21" s="30" t="s">
        <v>76</v>
      </c>
      <c r="L21" s="73" t="s">
        <v>77</v>
      </c>
      <c r="M21" s="48" t="s">
        <v>78</v>
      </c>
      <c r="N21" s="56" t="s">
        <v>35</v>
      </c>
      <c r="O21" s="57"/>
      <c r="P21" s="58"/>
      <c r="Q21" s="58"/>
      <c r="R21" s="58"/>
      <c r="S21" s="58"/>
      <c r="T21" s="58"/>
      <c r="U21" s="67"/>
      <c r="V21" s="68"/>
      <c r="W21" s="68"/>
      <c r="X21" s="68"/>
      <c r="Y21" s="68"/>
    </row>
    <row r="22" s="1" customFormat="1" ht="129" customHeight="1" spans="1:25">
      <c r="A22" s="31"/>
      <c r="B22" s="31"/>
      <c r="C22" s="32" t="s">
        <v>79</v>
      </c>
      <c r="D22" s="30" t="s">
        <v>80</v>
      </c>
      <c r="E22" s="48">
        <v>4</v>
      </c>
      <c r="F22" s="30" t="s">
        <v>47</v>
      </c>
      <c r="G22" s="48">
        <v>2</v>
      </c>
      <c r="H22" s="48">
        <v>3</v>
      </c>
      <c r="I22" s="51">
        <f t="shared" si="2"/>
        <v>24</v>
      </c>
      <c r="J22" s="52" t="str">
        <f t="shared" si="3"/>
        <v>Major</v>
      </c>
      <c r="K22" s="30" t="s">
        <v>48</v>
      </c>
      <c r="L22" s="73" t="s">
        <v>49</v>
      </c>
      <c r="M22" s="48" t="s">
        <v>50</v>
      </c>
      <c r="N22" s="56" t="s">
        <v>35</v>
      </c>
      <c r="O22" s="57"/>
      <c r="P22" s="58"/>
      <c r="Q22" s="58"/>
      <c r="R22" s="58"/>
      <c r="S22" s="58"/>
      <c r="T22" s="58"/>
      <c r="U22" s="67"/>
      <c r="V22" s="68"/>
      <c r="W22" s="68"/>
      <c r="X22" s="68"/>
      <c r="Y22" s="68"/>
    </row>
    <row r="23" s="1" customFormat="1" ht="129" customHeight="1" spans="1:25">
      <c r="A23" s="31"/>
      <c r="B23" s="31"/>
      <c r="C23" s="32" t="s">
        <v>81</v>
      </c>
      <c r="D23" s="30" t="s">
        <v>52</v>
      </c>
      <c r="E23" s="48">
        <v>4</v>
      </c>
      <c r="F23" s="30" t="s">
        <v>82</v>
      </c>
      <c r="G23" s="48">
        <v>2</v>
      </c>
      <c r="H23" s="48">
        <v>3</v>
      </c>
      <c r="I23" s="51">
        <f t="shared" si="2"/>
        <v>24</v>
      </c>
      <c r="J23" s="52" t="str">
        <f t="shared" si="3"/>
        <v>Major</v>
      </c>
      <c r="K23" s="73" t="s">
        <v>54</v>
      </c>
      <c r="L23" s="73" t="s">
        <v>55</v>
      </c>
      <c r="M23" s="48" t="s">
        <v>56</v>
      </c>
      <c r="N23" s="56" t="s">
        <v>35</v>
      </c>
      <c r="O23" s="57"/>
      <c r="P23" s="58"/>
      <c r="Q23" s="58"/>
      <c r="R23" s="58"/>
      <c r="S23" s="58"/>
      <c r="T23" s="58"/>
      <c r="U23" s="67"/>
      <c r="V23" s="68"/>
      <c r="W23" s="68"/>
      <c r="X23" s="68"/>
      <c r="Y23" s="68"/>
    </row>
    <row r="24" s="2" customFormat="1" ht="99.95" customHeight="1" spans="2:25">
      <c r="B24" s="38" t="s">
        <v>83</v>
      </c>
      <c r="C24" s="38"/>
      <c r="D24" s="38"/>
      <c r="E24" s="38"/>
      <c r="F24" s="38"/>
      <c r="G24" s="38"/>
      <c r="H24" s="38"/>
      <c r="N24" s="59"/>
      <c r="U24" s="69"/>
      <c r="V24" s="69"/>
      <c r="W24" s="69"/>
      <c r="X24" s="69"/>
      <c r="Y24" s="69"/>
    </row>
    <row r="25" s="2" customFormat="1" spans="2:25">
      <c r="B25" s="39"/>
      <c r="C25" s="39"/>
      <c r="D25" s="39"/>
      <c r="E25" s="39"/>
      <c r="F25" s="39"/>
      <c r="G25" s="39"/>
      <c r="H25" s="39"/>
      <c r="N25" s="59"/>
      <c r="U25" s="69"/>
      <c r="V25" s="69"/>
      <c r="W25" s="69"/>
      <c r="X25" s="69"/>
      <c r="Y25" s="69"/>
    </row>
    <row r="26" s="3" customFormat="1" ht="26.25" customHeight="1" spans="2:21">
      <c r="B26" s="40" t="s">
        <v>84</v>
      </c>
      <c r="C26" s="40"/>
      <c r="I26" s="40" t="s">
        <v>85</v>
      </c>
      <c r="J26" s="40"/>
      <c r="K26" s="40"/>
      <c r="N26" s="60"/>
      <c r="O26" s="61"/>
      <c r="Q26" s="40" t="s">
        <v>86</v>
      </c>
      <c r="R26" s="40"/>
      <c r="S26" s="40"/>
      <c r="T26" s="40"/>
      <c r="U26" s="70"/>
    </row>
    <row r="27" s="3" customFormat="1" ht="87.75" customHeight="1" spans="2:21">
      <c r="B27" s="41" t="s">
        <v>87</v>
      </c>
      <c r="C27" s="41"/>
      <c r="H27" s="49"/>
      <c r="I27" s="41" t="s">
        <v>87</v>
      </c>
      <c r="J27" s="41"/>
      <c r="K27" s="41"/>
      <c r="N27" s="62"/>
      <c r="O27" s="49"/>
      <c r="P27" s="49"/>
      <c r="Q27" s="41" t="s">
        <v>88</v>
      </c>
      <c r="R27" s="41"/>
      <c r="S27" s="41"/>
      <c r="T27" s="41"/>
      <c r="U27" s="71"/>
    </row>
    <row r="28" s="3" customFormat="1" ht="13.5" customHeight="1" spans="1:21">
      <c r="A28" s="42" t="s">
        <v>89</v>
      </c>
      <c r="B28" s="43"/>
      <c r="C28" s="43"/>
      <c r="D28" s="3" t="s">
        <v>90</v>
      </c>
      <c r="H28" s="50" t="s">
        <v>89</v>
      </c>
      <c r="I28" s="43"/>
      <c r="J28" s="43"/>
      <c r="K28" s="43"/>
      <c r="L28" s="3" t="s">
        <v>90</v>
      </c>
      <c r="N28" s="62"/>
      <c r="O28" s="49"/>
      <c r="P28" s="50" t="s">
        <v>89</v>
      </c>
      <c r="Q28" s="43" t="s">
        <v>91</v>
      </c>
      <c r="R28" s="43"/>
      <c r="S28" s="43"/>
      <c r="T28" s="43"/>
      <c r="U28" s="71" t="s">
        <v>90</v>
      </c>
    </row>
    <row r="29" s="2" customFormat="1" ht="60" customHeight="1" spans="2:25">
      <c r="B29" s="44"/>
      <c r="N29" s="59"/>
      <c r="U29" s="69"/>
      <c r="V29" s="69"/>
      <c r="W29" s="69"/>
      <c r="X29" s="69"/>
      <c r="Y29" s="69"/>
    </row>
    <row r="30" s="2" customFormat="1" ht="60" customHeight="1" spans="2:25">
      <c r="B30" s="44"/>
      <c r="N30" s="59"/>
      <c r="U30" s="69"/>
      <c r="V30" s="69"/>
      <c r="W30" s="69"/>
      <c r="X30" s="69"/>
      <c r="Y30" s="69"/>
    </row>
    <row r="31" s="2" customFormat="1" ht="60" customHeight="1" spans="2:25">
      <c r="B31" s="44"/>
      <c r="N31" s="59"/>
      <c r="U31" s="69"/>
      <c r="V31" s="69"/>
      <c r="W31" s="69"/>
      <c r="X31" s="69"/>
      <c r="Y31" s="69"/>
    </row>
    <row r="32" s="2" customFormat="1" ht="60" customHeight="1" spans="2:25">
      <c r="B32" s="44"/>
      <c r="N32" s="59"/>
      <c r="U32" s="69"/>
      <c r="V32" s="69"/>
      <c r="W32" s="69"/>
      <c r="X32" s="69"/>
      <c r="Y32" s="69"/>
    </row>
    <row r="33" s="2" customFormat="1" ht="60" customHeight="1" spans="2:25">
      <c r="B33" s="44"/>
      <c r="N33" s="59"/>
      <c r="U33" s="69"/>
      <c r="V33" s="69"/>
      <c r="W33" s="69"/>
      <c r="X33" s="69"/>
      <c r="Y33" s="69"/>
    </row>
    <row r="34" s="2" customFormat="1" ht="60" customHeight="1" spans="2:25">
      <c r="B34" s="44"/>
      <c r="N34" s="59"/>
      <c r="U34" s="69"/>
      <c r="V34" s="69"/>
      <c r="W34" s="69"/>
      <c r="X34" s="69"/>
      <c r="Y34" s="69"/>
    </row>
    <row r="35" s="2" customFormat="1" ht="60" customHeight="1" spans="2:25">
      <c r="B35" s="44"/>
      <c r="N35" s="59"/>
      <c r="U35" s="69"/>
      <c r="V35" s="69"/>
      <c r="W35" s="69"/>
      <c r="X35" s="69"/>
      <c r="Y35" s="69"/>
    </row>
    <row r="36" s="2" customFormat="1" ht="60" customHeight="1" spans="2:25">
      <c r="B36" s="44"/>
      <c r="N36" s="59"/>
      <c r="U36" s="69"/>
      <c r="V36" s="69"/>
      <c r="W36" s="69"/>
      <c r="X36" s="69"/>
      <c r="Y36" s="69"/>
    </row>
    <row r="37" s="2" customFormat="1" ht="60" customHeight="1" spans="2:25">
      <c r="B37" s="44"/>
      <c r="N37" s="59"/>
      <c r="U37" s="69"/>
      <c r="V37" s="69"/>
      <c r="W37" s="69"/>
      <c r="X37" s="69"/>
      <c r="Y37" s="69"/>
    </row>
    <row r="38" s="2" customFormat="1" ht="60" customHeight="1" spans="2:25">
      <c r="B38" s="44"/>
      <c r="N38" s="59"/>
      <c r="U38" s="69"/>
      <c r="V38" s="69"/>
      <c r="W38" s="69"/>
      <c r="X38" s="69"/>
      <c r="Y38" s="69"/>
    </row>
    <row r="39" s="4" customFormat="1" ht="60" customHeight="1" spans="2:25">
      <c r="B39" s="45"/>
      <c r="N39" s="63"/>
      <c r="U39" s="72"/>
      <c r="V39" s="72"/>
      <c r="W39" s="72"/>
      <c r="X39" s="72"/>
      <c r="Y39" s="72"/>
    </row>
    <row r="40" s="4" customFormat="1" ht="60" customHeight="1" spans="2:25">
      <c r="B40" s="45"/>
      <c r="N40" s="63"/>
      <c r="U40" s="72"/>
      <c r="V40" s="72"/>
      <c r="W40" s="72"/>
      <c r="X40" s="72"/>
      <c r="Y40" s="72"/>
    </row>
    <row r="41" s="4" customFormat="1" ht="60" customHeight="1" spans="2:25">
      <c r="B41" s="45"/>
      <c r="N41" s="63"/>
      <c r="U41" s="72"/>
      <c r="V41" s="72"/>
      <c r="W41" s="72"/>
      <c r="X41" s="72"/>
      <c r="Y41" s="72"/>
    </row>
    <row r="42" s="4" customFormat="1" ht="60" customHeight="1" spans="2:25">
      <c r="B42" s="45"/>
      <c r="N42" s="63"/>
      <c r="U42" s="72"/>
      <c r="V42" s="72"/>
      <c r="W42" s="72"/>
      <c r="X42" s="72"/>
      <c r="Y42" s="72"/>
    </row>
    <row r="43" s="4" customFormat="1" ht="60" customHeight="1" spans="2:25">
      <c r="B43" s="45"/>
      <c r="N43" s="63"/>
      <c r="U43" s="72"/>
      <c r="V43" s="72"/>
      <c r="W43" s="72"/>
      <c r="X43" s="72"/>
      <c r="Y43" s="72"/>
    </row>
    <row r="44" s="4" customFormat="1" ht="60" customHeight="1" spans="2:25">
      <c r="B44" s="45"/>
      <c r="N44" s="63"/>
      <c r="U44" s="72"/>
      <c r="V44" s="72"/>
      <c r="W44" s="72"/>
      <c r="X44" s="72"/>
      <c r="Y44" s="72"/>
    </row>
    <row r="45" s="4" customFormat="1" ht="60" customHeight="1" spans="2:25">
      <c r="B45" s="45"/>
      <c r="N45" s="63"/>
      <c r="U45" s="72"/>
      <c r="V45" s="72"/>
      <c r="W45" s="72"/>
      <c r="X45" s="72"/>
      <c r="Y45" s="72"/>
    </row>
    <row r="46" s="4" customFormat="1" ht="60" customHeight="1" spans="2:25">
      <c r="B46" s="45"/>
      <c r="N46" s="63"/>
      <c r="U46" s="72"/>
      <c r="V46" s="72"/>
      <c r="W46" s="72"/>
      <c r="X46" s="72"/>
      <c r="Y46" s="72"/>
    </row>
    <row r="47" s="4" customFormat="1" ht="60" customHeight="1" spans="2:25">
      <c r="B47" s="45"/>
      <c r="N47" s="63"/>
      <c r="U47" s="72"/>
      <c r="V47" s="72"/>
      <c r="W47" s="72"/>
      <c r="X47" s="72"/>
      <c r="Y47" s="72"/>
    </row>
    <row r="48" s="4" customFormat="1" ht="60" customHeight="1" spans="2:25">
      <c r="B48" s="45"/>
      <c r="N48" s="63"/>
      <c r="U48" s="72"/>
      <c r="V48" s="72"/>
      <c r="W48" s="72"/>
      <c r="X48" s="72"/>
      <c r="Y48" s="72"/>
    </row>
    <row r="49" s="4" customFormat="1" ht="60" customHeight="1" spans="2:25">
      <c r="B49" s="45"/>
      <c r="N49" s="63"/>
      <c r="U49" s="72"/>
      <c r="V49" s="72"/>
      <c r="W49" s="72"/>
      <c r="X49" s="72"/>
      <c r="Y49" s="72"/>
    </row>
    <row r="50" s="4" customFormat="1" ht="60" customHeight="1" spans="2:25">
      <c r="B50" s="45"/>
      <c r="N50" s="63"/>
      <c r="U50" s="72"/>
      <c r="V50" s="72"/>
      <c r="W50" s="72"/>
      <c r="X50" s="72"/>
      <c r="Y50" s="72"/>
    </row>
    <row r="51" s="4" customFormat="1" ht="60" customHeight="1" spans="2:25">
      <c r="B51" s="45"/>
      <c r="N51" s="63"/>
      <c r="U51" s="72"/>
      <c r="V51" s="72"/>
      <c r="W51" s="72"/>
      <c r="X51" s="72"/>
      <c r="Y51" s="72"/>
    </row>
    <row r="52" s="4" customFormat="1" ht="60" customHeight="1" spans="2:25">
      <c r="B52" s="45"/>
      <c r="N52" s="63"/>
      <c r="U52" s="72"/>
      <c r="V52" s="72"/>
      <c r="W52" s="72"/>
      <c r="X52" s="72"/>
      <c r="Y52" s="72"/>
    </row>
    <row r="53" s="4" customFormat="1" ht="60" customHeight="1" spans="2:25">
      <c r="B53" s="45"/>
      <c r="N53" s="63"/>
      <c r="U53" s="72"/>
      <c r="V53" s="72"/>
      <c r="W53" s="72"/>
      <c r="X53" s="72"/>
      <c r="Y53" s="72"/>
    </row>
    <row r="54" s="4" customFormat="1" ht="60" customHeight="1" spans="2:25">
      <c r="B54" s="45"/>
      <c r="N54" s="63"/>
      <c r="U54" s="72"/>
      <c r="V54" s="72"/>
      <c r="W54" s="72"/>
      <c r="X54" s="72"/>
      <c r="Y54" s="72"/>
    </row>
    <row r="55" s="4" customFormat="1" ht="60" customHeight="1" spans="2:25">
      <c r="B55" s="45"/>
      <c r="N55" s="63"/>
      <c r="U55" s="72"/>
      <c r="V55" s="72"/>
      <c r="W55" s="72"/>
      <c r="X55" s="72"/>
      <c r="Y55" s="72"/>
    </row>
    <row r="56" s="4" customFormat="1" ht="60" customHeight="1" spans="2:25">
      <c r="B56" s="45"/>
      <c r="N56" s="63"/>
      <c r="U56" s="72"/>
      <c r="V56" s="72"/>
      <c r="W56" s="72"/>
      <c r="X56" s="72"/>
      <c r="Y56" s="72"/>
    </row>
    <row r="57" s="4" customFormat="1" ht="60" customHeight="1" spans="2:25">
      <c r="B57" s="45"/>
      <c r="N57" s="63"/>
      <c r="U57" s="72"/>
      <c r="V57" s="72"/>
      <c r="W57" s="72"/>
      <c r="X57" s="72"/>
      <c r="Y57" s="72"/>
    </row>
    <row r="58" s="4" customFormat="1" ht="60" customHeight="1" spans="2:25">
      <c r="B58" s="45"/>
      <c r="N58" s="63"/>
      <c r="U58" s="72"/>
      <c r="V58" s="72"/>
      <c r="W58" s="72"/>
      <c r="X58" s="72"/>
      <c r="Y58" s="72"/>
    </row>
    <row r="59" s="4" customFormat="1" ht="60" customHeight="1" spans="2:25">
      <c r="B59" s="45"/>
      <c r="N59" s="63"/>
      <c r="U59" s="72"/>
      <c r="V59" s="72"/>
      <c r="W59" s="72"/>
      <c r="X59" s="72"/>
      <c r="Y59" s="72"/>
    </row>
    <row r="60" s="4" customFormat="1" ht="60" customHeight="1" spans="2:25">
      <c r="B60" s="45"/>
      <c r="N60" s="63"/>
      <c r="U60" s="72"/>
      <c r="V60" s="72"/>
      <c r="W60" s="72"/>
      <c r="X60" s="72"/>
      <c r="Y60" s="72"/>
    </row>
    <row r="61" s="4" customFormat="1" spans="2:25">
      <c r="B61" s="46"/>
      <c r="N61" s="63"/>
      <c r="U61" s="72"/>
      <c r="V61" s="72"/>
      <c r="W61" s="72"/>
      <c r="X61" s="72"/>
      <c r="Y61" s="72"/>
    </row>
    <row r="62" s="4" customFormat="1" spans="2:25">
      <c r="B62" s="46"/>
      <c r="N62" s="63"/>
      <c r="U62" s="72"/>
      <c r="V62" s="72"/>
      <c r="W62" s="72"/>
      <c r="X62" s="72"/>
      <c r="Y62" s="72"/>
    </row>
  </sheetData>
  <protectedRanges>
    <protectedRange sqref="M13:N13 M14 N14 M15 N15 N16 M16 M17 N17 M18 N18 M19 N19 M20 N20 M21 N21 M22:N23" name="Range2"/>
  </protectedRanges>
  <mergeCells count="34">
    <mergeCell ref="A1:B1"/>
    <mergeCell ref="A2:B2"/>
    <mergeCell ref="A3:B3"/>
    <mergeCell ref="A5:U5"/>
    <mergeCell ref="A6:U6"/>
    <mergeCell ref="A8:B8"/>
    <mergeCell ref="A9:B9"/>
    <mergeCell ref="P11:T11"/>
    <mergeCell ref="B24:H24"/>
    <mergeCell ref="B26:C26"/>
    <mergeCell ref="I26:K26"/>
    <mergeCell ref="Q26:T26"/>
    <mergeCell ref="B27:C27"/>
    <mergeCell ref="I27:K27"/>
    <mergeCell ref="Q27:T27"/>
    <mergeCell ref="B28:C28"/>
    <mergeCell ref="I28:K28"/>
    <mergeCell ref="Q28:T28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U11:U12"/>
  </mergeCells>
  <conditionalFormatting sqref="N13">
    <cfRule type="cellIs" dxfId="0" priority="21" operator="equal">
      <formula>"diisi"</formula>
    </cfRule>
  </conditionalFormatting>
  <conditionalFormatting sqref="N14">
    <cfRule type="cellIs" dxfId="0" priority="9" operator="equal">
      <formula>"diisi"</formula>
    </cfRule>
  </conditionalFormatting>
  <conditionalFormatting sqref="N15">
    <cfRule type="cellIs" dxfId="0" priority="8" operator="equal">
      <formula>"diisi"</formula>
    </cfRule>
  </conditionalFormatting>
  <conditionalFormatting sqref="N16">
    <cfRule type="cellIs" dxfId="0" priority="10" operator="equal">
      <formula>"diisi"</formula>
    </cfRule>
  </conditionalFormatting>
  <conditionalFormatting sqref="N17">
    <cfRule type="cellIs" dxfId="0" priority="7" operator="equal">
      <formula>"diisi"</formula>
    </cfRule>
  </conditionalFormatting>
  <conditionalFormatting sqref="N18">
    <cfRule type="cellIs" dxfId="0" priority="6" operator="equal">
      <formula>"diisi"</formula>
    </cfRule>
  </conditionalFormatting>
  <conditionalFormatting sqref="N19">
    <cfRule type="cellIs" dxfId="0" priority="5" operator="equal">
      <formula>"diisi"</formula>
    </cfRule>
  </conditionalFormatting>
  <conditionalFormatting sqref="N20">
    <cfRule type="cellIs" dxfId="0" priority="4" operator="equal">
      <formula>"diisi"</formula>
    </cfRule>
  </conditionalFormatting>
  <conditionalFormatting sqref="N21">
    <cfRule type="cellIs" dxfId="0" priority="3" operator="equal">
      <formula>"diisi"</formula>
    </cfRule>
  </conditionalFormatting>
  <conditionalFormatting sqref="N22">
    <cfRule type="cellIs" dxfId="0" priority="2" operator="equal">
      <formula>"diisi"</formula>
    </cfRule>
  </conditionalFormatting>
  <conditionalFormatting sqref="N23">
    <cfRule type="cellIs" dxfId="0" priority="1" operator="equal">
      <formula>"diisi"</formula>
    </cfRule>
  </conditionalFormatting>
  <pageMargins left="0.236220472440945" right="0.236220472440945" top="0.748031496062992" bottom="0.748031496062992" header="0.31496062992126" footer="0.31496062992126"/>
  <pageSetup paperSize="9" scale="42" orientation="landscape"/>
  <headerFooter>
    <oddFooter>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asus</cp:lastModifiedBy>
  <dcterms:created xsi:type="dcterms:W3CDTF">2017-12-20T22:10:00Z</dcterms:created>
  <cp:lastPrinted>2021-09-04T04:36:00Z</cp:lastPrinted>
  <dcterms:modified xsi:type="dcterms:W3CDTF">2021-12-31T10:27:31Z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