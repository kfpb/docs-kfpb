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HP\Google Drive\SPML Folder Bersama\Dokumen\Alat\CC Alat\"/>
    </mc:Choice>
  </mc:AlternateContent>
  <xr:revisionPtr revIDLastSave="0" documentId="8_{9EA2548C-40BA-42E8-A83D-B74D19100A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Sheet1!$A$1:$W$19</definedName>
    <definedName name="_xlnm.Print_Titles" localSheetId="0">Sheet1!$10:$11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6" i="1" l="1"/>
  <c r="K16" i="1"/>
  <c r="I13" i="1"/>
  <c r="L13" i="1" s="1"/>
  <c r="K13" i="1"/>
  <c r="I14" i="1" l="1"/>
  <c r="L14" i="1" l="1"/>
  <c r="I12" i="1"/>
  <c r="L12" i="1" s="1"/>
  <c r="K14" i="1" l="1"/>
  <c r="K12" i="1"/>
</calcChain>
</file>

<file path=xl/sharedStrings.xml><?xml version="1.0" encoding="utf-8"?>
<sst xmlns="http://schemas.openxmlformats.org/spreadsheetml/2006/main" count="73" uniqueCount="59">
  <si>
    <t>:</t>
  </si>
  <si>
    <r>
      <t xml:space="preserve">FORMULIR </t>
    </r>
    <r>
      <rPr>
        <b/>
        <i/>
        <sz val="14"/>
        <color theme="1"/>
        <rFont val="Tahoma"/>
        <family val="2"/>
      </rPr>
      <t>FAILURE MODE AND EFFECT ANALYSIS</t>
    </r>
    <r>
      <rPr>
        <b/>
        <sz val="14"/>
        <color theme="1"/>
        <rFont val="Tahoma"/>
        <family val="2"/>
      </rPr>
      <t xml:space="preserve"> (FMEA)</t>
    </r>
  </si>
  <si>
    <t>No.</t>
  </si>
  <si>
    <t>Component*</t>
  </si>
  <si>
    <t>Potential Failure Mode</t>
  </si>
  <si>
    <t>Potential Failure Effect</t>
  </si>
  <si>
    <t>S</t>
  </si>
  <si>
    <t>Potential Cause</t>
  </si>
  <si>
    <t>O</t>
  </si>
  <si>
    <t>D</t>
  </si>
  <si>
    <t>RPN</t>
  </si>
  <si>
    <t>Current Process Control</t>
  </si>
  <si>
    <t>Recommended Action</t>
  </si>
  <si>
    <t>Responsibility</t>
  </si>
  <si>
    <t>Target Date</t>
  </si>
  <si>
    <t>After Action Taken</t>
  </si>
  <si>
    <t>Risk Category</t>
  </si>
  <si>
    <t>Action Taken</t>
  </si>
  <si>
    <t>New Target Date</t>
  </si>
  <si>
    <t>(                                                         )</t>
  </si>
  <si>
    <r>
      <t xml:space="preserve">Keterangan:
* </t>
    </r>
    <r>
      <rPr>
        <i/>
        <sz val="10"/>
        <color theme="1"/>
        <rFont val="Tahoma"/>
        <family val="2"/>
      </rPr>
      <t>component</t>
    </r>
    <r>
      <rPr>
        <sz val="10"/>
        <color theme="1"/>
        <rFont val="Tahoma"/>
        <family val="2"/>
      </rPr>
      <t xml:space="preserve"> dapat berupa sistem, proses, atau produk
S: </t>
    </r>
    <r>
      <rPr>
        <i/>
        <sz val="10"/>
        <color theme="1"/>
        <rFont val="Tahoma"/>
        <family val="2"/>
      </rPr>
      <t>severity</t>
    </r>
    <r>
      <rPr>
        <sz val="10"/>
        <color theme="1"/>
        <rFont val="Tahoma"/>
        <family val="2"/>
      </rPr>
      <t xml:space="preserve">
O: </t>
    </r>
    <r>
      <rPr>
        <i/>
        <sz val="10"/>
        <color theme="1"/>
        <rFont val="Tahoma"/>
        <family val="2"/>
      </rPr>
      <t>occurrence</t>
    </r>
    <r>
      <rPr>
        <sz val="10"/>
        <color theme="1"/>
        <rFont val="Tahoma"/>
        <family val="2"/>
      </rPr>
      <t xml:space="preserve">
D: </t>
    </r>
    <r>
      <rPr>
        <i/>
        <sz val="10"/>
        <color theme="1"/>
        <rFont val="Tahoma"/>
        <family val="2"/>
      </rPr>
      <t>detection</t>
    </r>
    <r>
      <rPr>
        <sz val="10"/>
        <color theme="1"/>
        <rFont val="Tahoma"/>
        <family val="2"/>
      </rPr>
      <t xml:space="preserve">
</t>
    </r>
  </si>
  <si>
    <t>New Risk Category</t>
  </si>
  <si>
    <t>New RPN</t>
  </si>
  <si>
    <t>F-PQS-03-008-02/03</t>
  </si>
  <si>
    <r>
      <t>Disusun oleh/</t>
    </r>
    <r>
      <rPr>
        <i/>
        <sz val="10"/>
        <color theme="1"/>
        <rFont val="Tahoma"/>
        <family val="2"/>
      </rPr>
      <t>Prepared by :</t>
    </r>
  </si>
  <si>
    <r>
      <t>Diperiksa oleh/</t>
    </r>
    <r>
      <rPr>
        <i/>
        <sz val="10"/>
        <color theme="1"/>
        <rFont val="Tahoma"/>
        <family val="2"/>
      </rPr>
      <t>Checked by</t>
    </r>
    <r>
      <rPr>
        <sz val="10"/>
        <color theme="1"/>
        <rFont val="Tahoma"/>
        <family val="2"/>
      </rPr>
      <t xml:space="preserve"> :</t>
    </r>
  </si>
  <si>
    <r>
      <t>Disahkan oleh/</t>
    </r>
    <r>
      <rPr>
        <i/>
        <sz val="10"/>
        <color theme="1"/>
        <rFont val="Tahoma"/>
        <family val="2"/>
      </rPr>
      <t>Approved by</t>
    </r>
    <r>
      <rPr>
        <sz val="10"/>
        <color theme="1"/>
        <rFont val="Tahoma"/>
        <family val="2"/>
      </rPr>
      <t xml:space="preserve"> :</t>
    </r>
  </si>
  <si>
    <r>
      <t>Ruang lingkup/</t>
    </r>
    <r>
      <rPr>
        <i/>
        <sz val="10"/>
        <color theme="1"/>
        <rFont val="Tahoma"/>
        <family val="2"/>
      </rPr>
      <t>Scope</t>
    </r>
  </si>
  <si>
    <r>
      <t>No. Kajian/</t>
    </r>
    <r>
      <rPr>
        <i/>
        <sz val="10"/>
        <color theme="1"/>
        <rFont val="Tahoma"/>
        <family val="2"/>
      </rPr>
      <t>Assesment no.</t>
    </r>
  </si>
  <si>
    <t>Document No.</t>
  </si>
  <si>
    <t>Effective Date</t>
  </si>
  <si>
    <r>
      <t xml:space="preserve">2nd </t>
    </r>
    <r>
      <rPr>
        <sz val="10"/>
        <color theme="1"/>
        <rFont val="Tahoma"/>
        <family val="2"/>
      </rPr>
      <t>Attachment</t>
    </r>
  </si>
  <si>
    <t>Terjadi kecelakaan kerja</t>
  </si>
  <si>
    <t>Alat rusak</t>
  </si>
  <si>
    <t>Teknik</t>
  </si>
  <si>
    <t>Dilakukan perbaikan alat jika terjadi kerusakan</t>
  </si>
  <si>
    <t>Pemindahan Alat pH Meter Eutech 700 di Lab QC dari Area Instrumen ke Area Mikrobiologi</t>
  </si>
  <si>
    <t>Proses pemindahan alat dari Area Instrumen ke Area Mikrobiologi</t>
  </si>
  <si>
    <t>Alat jatuh/terbentur</t>
  </si>
  <si>
    <t>Alat/personil terbentur dengan dinding/pintu atau jatuh</t>
  </si>
  <si>
    <t>Proses pemindahan menggunakan troli</t>
  </si>
  <si>
    <t>SPML</t>
  </si>
  <si>
    <t>Des II/2021</t>
  </si>
  <si>
    <t>Personil mengalami kecelakaan kerja</t>
  </si>
  <si>
    <t>Alat/personil terbentur dengan dinding/pintu atau tertimpa alat</t>
  </si>
  <si>
    <t>Pemindahan alat memerhatikan kehati-hatian, dilakukan oleh 2 orang</t>
  </si>
  <si>
    <t>Hasil adjusment tidak memenuhi syarat</t>
  </si>
  <si>
    <t>Alat tidak dapat dipakai</t>
  </si>
  <si>
    <t>Dilakukan adjusment setiap hari sebelum digunakan</t>
  </si>
  <si>
    <t>Ditunjuk penanggung jawab untuk melakukan adjusment</t>
  </si>
  <si>
    <t>Des III/2021</t>
  </si>
  <si>
    <t>Analis tidak dapat menggunakan alat</t>
  </si>
  <si>
    <t>pengukuran pH tidak dapat dilakukan</t>
  </si>
  <si>
    <t>Analis tidak mengetahui cara menggunakan alat</t>
  </si>
  <si>
    <t>Penggunaan alat mirip dengan alat yang sebelumnya ada</t>
  </si>
  <si>
    <t>Dilakukan sosialisasi penggunaan alat</t>
  </si>
  <si>
    <t>SPML
(Ujang Karna)</t>
  </si>
  <si>
    <t>AMPM
(Petrus Wicaksono)</t>
  </si>
  <si>
    <t>Pemakaian Alat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</si>
</sst>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C09]d\ mmm\ yyyy;@"/>
  </numFmts>
  <fonts count="11" x14ac:knownFonts="1">
    <font>
      <sz val="11"/>
      <color theme="1"/>
      <name val="Calibri"/>
      <family val="2"/>
      <charset val="1"/>
      <scheme val="minor"/>
    </font>
    <font>
      <sz val="10"/>
      <color theme="1"/>
      <name val="Tahoma"/>
      <family val="2"/>
    </font>
    <font>
      <b/>
      <sz val="14"/>
      <color theme="1"/>
      <name val="Tahoma"/>
      <family val="2"/>
    </font>
    <font>
      <b/>
      <i/>
      <sz val="14"/>
      <color theme="1"/>
      <name val="Tahoma"/>
      <family val="2"/>
    </font>
    <font>
      <i/>
      <sz val="10"/>
      <color theme="1"/>
      <name val="Tahoma"/>
      <family val="2"/>
    </font>
    <font>
      <sz val="11"/>
      <color theme="1"/>
      <name val="Tahoma"/>
      <family val="2"/>
    </font>
    <font>
      <vertAlign val="superscript"/>
      <sz val="10"/>
      <color theme="1"/>
      <name val="Tahoma"/>
      <family val="2"/>
    </font>
    <font>
      <sz val="10"/>
      <name val="Tahoma"/>
      <family val="2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81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5" fillId="0" borderId="0" xfId="0" applyFont="1"/>
    <xf numFmtId="0" fontId="1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Border="1" applyAlignment="1"/>
    <xf numFmtId="0" fontId="5" fillId="0" borderId="0" xfId="0" applyFont="1" applyAlignment="1"/>
    <xf numFmtId="0" fontId="7" fillId="0" borderId="8" xfId="0" applyFont="1" applyBorder="1" applyAlignment="1">
      <alignment horizontal="center" vertical="top"/>
    </xf>
    <xf numFmtId="0" fontId="1" fillId="0" borderId="0" xfId="0" applyFont="1" applyBorder="1"/>
    <xf numFmtId="0" fontId="5" fillId="0" borderId="2" xfId="0" applyFont="1" applyBorder="1"/>
    <xf numFmtId="0" fontId="5" fillId="0" borderId="4" xfId="0" applyFont="1" applyBorder="1" applyAlignment="1"/>
    <xf numFmtId="0" fontId="5" fillId="0" borderId="4" xfId="0" applyFont="1" applyBorder="1"/>
    <xf numFmtId="0" fontId="5" fillId="0" borderId="7" xfId="0" applyFont="1" applyBorder="1"/>
    <xf numFmtId="164" fontId="1" fillId="0" borderId="8" xfId="1" applyNumberFormat="1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4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20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/>
    </xf>
    <xf numFmtId="0" fontId="1" fillId="0" borderId="20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center" vertical="top" wrapText="1"/>
    </xf>
    <xf numFmtId="0" fontId="7" fillId="0" borderId="24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/>
    <xf numFmtId="0" fontId="10" fillId="0" borderId="15" xfId="0" applyFont="1" applyBorder="1" applyAlignment="1"/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/>
    <xf numFmtId="0" fontId="10" fillId="0" borderId="19" xfId="0" applyFont="1" applyBorder="1" applyAlignment="1"/>
    <xf numFmtId="0" fontId="1" fillId="0" borderId="0" xfId="0" applyFont="1" applyFill="1" applyBorder="1"/>
    <xf numFmtId="0" fontId="1" fillId="0" borderId="25" xfId="0" applyFont="1" applyBorder="1" applyAlignment="1">
      <alignment horizontal="center" vertical="top" wrapText="1"/>
    </xf>
    <xf numFmtId="0" fontId="1" fillId="0" borderId="26" xfId="0" applyFont="1" applyBorder="1" applyAlignment="1">
      <alignment vertical="top" wrapText="1"/>
    </xf>
    <xf numFmtId="0" fontId="7" fillId="0" borderId="2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2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0" fillId="0" borderId="27" xfId="0" applyFont="1" applyBorder="1" applyAlignment="1"/>
    <xf numFmtId="0" fontId="1" fillId="0" borderId="20" xfId="0" applyFont="1" applyBorder="1" applyAlignment="1">
      <alignment vertical="top" wrapText="1"/>
    </xf>
    <xf numFmtId="0" fontId="1" fillId="0" borderId="24" xfId="0" applyFont="1" applyBorder="1" applyAlignment="1">
      <alignment vertical="top" wrapText="1"/>
    </xf>
  </cellXfs>
  <cellStyles count="2">
    <cellStyle name="Normal" xfId="0" builtinId="0"/>
    <cellStyle name="Normal 2" xfId="1" xr:uid="{75C073B3-58C1-49DA-8B04-99810F40731A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122459</xdr:colOff>
      <xdr:row>0</xdr:row>
      <xdr:rowOff>40821</xdr:rowOff>
    </xdr:from>
    <xdr:to>
      <xdr:col>22</xdr:col>
      <xdr:colOff>1345204</xdr:colOff>
      <xdr:row>3</xdr:row>
      <xdr:rowOff>116198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757066" y="40821"/>
          <a:ext cx="1222745" cy="606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53"/>
  <sheetViews>
    <sheetView showGridLines="0" tabSelected="1" zoomScale="70" zoomScaleNormal="70" zoomScaleSheetLayoutView="70" workbookViewId="0">
      <pane ySplit="11" topLeftCell="A13" activePane="bottomLeft" state="frozen"/>
      <selection pane="bottomLeft" activeCell="D13" sqref="D13"/>
    </sheetView>
  </sheetViews>
  <sheetFormatPr defaultRowHeight="14.25" x14ac:dyDescent="0.2"/>
  <cols>
    <col min="1" max="1" width="5.140625" style="12" bestFit="1" customWidth="1"/>
    <col min="2" max="2" width="20.85546875" style="18" customWidth="1"/>
    <col min="3" max="3" width="1.7109375" style="12" bestFit="1" customWidth="1"/>
    <col min="4" max="5" width="15.7109375" style="12" customWidth="1"/>
    <col min="6" max="6" width="8.7109375" style="12" customWidth="1"/>
    <col min="7" max="7" width="18.7109375" style="12" customWidth="1"/>
    <col min="8" max="8" width="8.7109375" style="12" customWidth="1"/>
    <col min="9" max="9" width="8.7109375" style="12" hidden="1" customWidth="1"/>
    <col min="10" max="11" width="8.7109375" style="12" customWidth="1"/>
    <col min="12" max="12" width="13" style="12" customWidth="1"/>
    <col min="13" max="13" width="15.7109375" style="12" customWidth="1"/>
    <col min="14" max="14" width="28.140625" style="12" customWidth="1"/>
    <col min="15" max="17" width="15.7109375" style="12" customWidth="1"/>
    <col min="18" max="21" width="8.7109375" style="12" customWidth="1"/>
    <col min="22" max="22" width="11.42578125" style="12" bestFit="1" customWidth="1"/>
    <col min="23" max="23" width="21.42578125" style="6" customWidth="1"/>
    <col min="24" max="27" width="9.140625" style="6"/>
    <col min="28" max="16384" width="9.140625" style="12"/>
  </cols>
  <sheetData>
    <row r="1" spans="1:27" x14ac:dyDescent="0.2">
      <c r="A1" s="69" t="s">
        <v>31</v>
      </c>
      <c r="B1" s="70"/>
      <c r="C1" s="1"/>
      <c r="D1" s="1"/>
      <c r="E1" s="4"/>
    </row>
    <row r="2" spans="1:27" x14ac:dyDescent="0.2">
      <c r="A2" s="71" t="s">
        <v>29</v>
      </c>
      <c r="B2" s="72"/>
      <c r="C2" s="2" t="s">
        <v>0</v>
      </c>
      <c r="D2" s="20" t="s">
        <v>23</v>
      </c>
      <c r="E2" s="5"/>
    </row>
    <row r="3" spans="1:27" x14ac:dyDescent="0.2">
      <c r="A3" s="71" t="s">
        <v>30</v>
      </c>
      <c r="B3" s="72"/>
      <c r="C3" s="2" t="s">
        <v>0</v>
      </c>
      <c r="D3" s="2"/>
      <c r="E3" s="5"/>
    </row>
    <row r="4" spans="1:27" ht="15" thickBot="1" x14ac:dyDescent="0.25">
      <c r="A4" s="21"/>
      <c r="B4" s="22"/>
      <c r="C4" s="23"/>
      <c r="D4" s="23"/>
      <c r="E4" s="24"/>
    </row>
    <row r="5" spans="1:27" ht="18" x14ac:dyDescent="0.25">
      <c r="A5" s="73" t="s">
        <v>1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14"/>
    </row>
    <row r="7" spans="1:27" s="49" customFormat="1" ht="12.75" x14ac:dyDescent="0.2">
      <c r="A7" s="74" t="s">
        <v>28</v>
      </c>
      <c r="B7" s="74"/>
      <c r="C7" s="35" t="s">
        <v>0</v>
      </c>
      <c r="W7" s="6"/>
      <c r="X7" s="6"/>
      <c r="Y7" s="6"/>
      <c r="Z7" s="6"/>
      <c r="AA7" s="6"/>
    </row>
    <row r="8" spans="1:27" s="49" customFormat="1" ht="12.75" x14ac:dyDescent="0.2">
      <c r="A8" s="74" t="s">
        <v>27</v>
      </c>
      <c r="B8" s="74"/>
      <c r="C8" s="35" t="s">
        <v>0</v>
      </c>
      <c r="D8" s="49" t="s">
        <v>36</v>
      </c>
      <c r="W8" s="6"/>
      <c r="X8" s="6"/>
      <c r="Y8" s="6"/>
      <c r="Z8" s="6"/>
      <c r="AA8" s="6"/>
    </row>
    <row r="9" spans="1:27" s="49" customFormat="1" ht="12.75" x14ac:dyDescent="0.2">
      <c r="B9" s="50"/>
      <c r="W9" s="6"/>
      <c r="X9" s="6"/>
      <c r="Y9" s="6"/>
      <c r="Z9" s="6"/>
      <c r="AA9" s="6"/>
    </row>
    <row r="10" spans="1:27" s="49" customFormat="1" ht="12.75" x14ac:dyDescent="0.2">
      <c r="A10" s="68" t="s">
        <v>2</v>
      </c>
      <c r="B10" s="62" t="s">
        <v>3</v>
      </c>
      <c r="C10" s="62"/>
      <c r="D10" s="62" t="s">
        <v>4</v>
      </c>
      <c r="E10" s="62" t="s">
        <v>5</v>
      </c>
      <c r="F10" s="68" t="s">
        <v>6</v>
      </c>
      <c r="G10" s="62" t="s">
        <v>7</v>
      </c>
      <c r="H10" s="68" t="s">
        <v>8</v>
      </c>
      <c r="I10" s="66"/>
      <c r="J10" s="68" t="s">
        <v>9</v>
      </c>
      <c r="K10" s="68" t="s">
        <v>10</v>
      </c>
      <c r="L10" s="62" t="s">
        <v>16</v>
      </c>
      <c r="M10" s="62" t="s">
        <v>11</v>
      </c>
      <c r="N10" s="62" t="s">
        <v>12</v>
      </c>
      <c r="O10" s="62" t="s">
        <v>13</v>
      </c>
      <c r="P10" s="62" t="s">
        <v>14</v>
      </c>
      <c r="Q10" s="62" t="s">
        <v>17</v>
      </c>
      <c r="R10" s="75" t="s">
        <v>15</v>
      </c>
      <c r="S10" s="76"/>
      <c r="T10" s="76"/>
      <c r="U10" s="76"/>
      <c r="V10" s="77"/>
      <c r="W10" s="61" t="s">
        <v>18</v>
      </c>
      <c r="X10" s="6"/>
      <c r="Y10" s="6"/>
      <c r="Z10" s="6"/>
      <c r="AA10" s="6"/>
    </row>
    <row r="11" spans="1:27" s="49" customFormat="1" ht="27.75" customHeight="1" x14ac:dyDescent="0.2">
      <c r="A11" s="68"/>
      <c r="B11" s="62"/>
      <c r="C11" s="62"/>
      <c r="D11" s="62"/>
      <c r="E11" s="62"/>
      <c r="F11" s="68"/>
      <c r="G11" s="62"/>
      <c r="H11" s="68"/>
      <c r="I11" s="67"/>
      <c r="J11" s="68"/>
      <c r="K11" s="68"/>
      <c r="L11" s="62"/>
      <c r="M11" s="62"/>
      <c r="N11" s="62"/>
      <c r="O11" s="62"/>
      <c r="P11" s="62"/>
      <c r="Q11" s="62"/>
      <c r="R11" s="34" t="s">
        <v>6</v>
      </c>
      <c r="S11" s="34" t="s">
        <v>8</v>
      </c>
      <c r="T11" s="34" t="s">
        <v>9</v>
      </c>
      <c r="U11" s="33" t="s">
        <v>22</v>
      </c>
      <c r="V11" s="33" t="s">
        <v>21</v>
      </c>
      <c r="W11" s="61"/>
      <c r="X11" s="6"/>
      <c r="Y11" s="6"/>
      <c r="Z11" s="6"/>
      <c r="AA11" s="6"/>
    </row>
    <row r="12" spans="1:27" s="49" customFormat="1" ht="99" customHeight="1" x14ac:dyDescent="0.2">
      <c r="A12" s="29">
        <v>1</v>
      </c>
      <c r="B12" s="30" t="s">
        <v>37</v>
      </c>
      <c r="C12" s="51"/>
      <c r="D12" s="42" t="s">
        <v>32</v>
      </c>
      <c r="E12" s="26" t="s">
        <v>43</v>
      </c>
      <c r="F12" s="28">
        <v>2</v>
      </c>
      <c r="G12" s="27" t="s">
        <v>44</v>
      </c>
      <c r="H12" s="28">
        <v>1</v>
      </c>
      <c r="I12" s="13">
        <f>H12*F12</f>
        <v>2</v>
      </c>
      <c r="J12" s="28">
        <v>1</v>
      </c>
      <c r="K12" s="19">
        <f t="shared" ref="K12" si="0">F12*H12*J12</f>
        <v>2</v>
      </c>
      <c r="L12" s="13" t="str">
        <f>IF(AND(I12&lt;=4),"Minor",IF(AND(I12&gt;4,I12&lt;13),"Major",IF(AND(I12&gt;=15),"Critical")))</f>
        <v>Minor</v>
      </c>
      <c r="M12" s="26" t="s">
        <v>40</v>
      </c>
      <c r="N12" s="26" t="s">
        <v>45</v>
      </c>
      <c r="O12" s="26" t="s">
        <v>41</v>
      </c>
      <c r="P12" s="25" t="s">
        <v>42</v>
      </c>
      <c r="Q12" s="3"/>
      <c r="R12" s="3"/>
      <c r="S12" s="3"/>
      <c r="T12" s="3"/>
      <c r="U12" s="3"/>
      <c r="V12" s="3"/>
      <c r="W12" s="9"/>
      <c r="X12" s="6"/>
      <c r="Y12" s="6"/>
      <c r="Z12" s="6"/>
      <c r="AA12" s="6"/>
    </row>
    <row r="13" spans="1:27" s="49" customFormat="1" ht="73.5" customHeight="1" x14ac:dyDescent="0.2">
      <c r="A13" s="52"/>
      <c r="B13" s="53"/>
      <c r="C13" s="54"/>
      <c r="D13" s="31" t="s">
        <v>38</v>
      </c>
      <c r="E13" s="27" t="s">
        <v>33</v>
      </c>
      <c r="F13" s="29">
        <v>2</v>
      </c>
      <c r="G13" s="27" t="s">
        <v>39</v>
      </c>
      <c r="H13" s="28">
        <v>1</v>
      </c>
      <c r="I13" s="13">
        <f t="shared" ref="I13" si="1">H13*F13</f>
        <v>2</v>
      </c>
      <c r="J13" s="28">
        <v>1</v>
      </c>
      <c r="K13" s="19">
        <f t="shared" ref="K13:K14" si="2">F13*H13*J13</f>
        <v>2</v>
      </c>
      <c r="L13" s="13" t="str">
        <f t="shared" ref="L13:L14" si="3">IF(AND(I13&lt;=4),"Minor",IF(AND(I13&gt;4,I13&lt;13),"Major",IF(AND(I13&gt;=15),"Critical")))</f>
        <v>Minor</v>
      </c>
      <c r="M13" s="26" t="s">
        <v>40</v>
      </c>
      <c r="N13" s="26" t="s">
        <v>45</v>
      </c>
      <c r="O13" s="26" t="s">
        <v>41</v>
      </c>
      <c r="P13" s="25" t="s">
        <v>42</v>
      </c>
      <c r="Q13" s="3"/>
      <c r="R13" s="3"/>
      <c r="S13" s="3"/>
      <c r="T13" s="3"/>
      <c r="U13" s="3"/>
      <c r="V13" s="3"/>
      <c r="W13" s="9"/>
      <c r="X13" s="6"/>
      <c r="Y13" s="6"/>
      <c r="Z13" s="6"/>
      <c r="AA13" s="6"/>
    </row>
    <row r="14" spans="1:27" s="49" customFormat="1" ht="63.75" customHeight="1" x14ac:dyDescent="0.2">
      <c r="A14" s="29">
        <v>2</v>
      </c>
      <c r="B14" s="30" t="s">
        <v>58</v>
      </c>
      <c r="C14" s="51"/>
      <c r="D14" s="30" t="s">
        <v>46</v>
      </c>
      <c r="E14" s="46" t="s">
        <v>47</v>
      </c>
      <c r="F14" s="39">
        <v>2</v>
      </c>
      <c r="G14" s="41" t="s">
        <v>33</v>
      </c>
      <c r="H14" s="39">
        <v>2</v>
      </c>
      <c r="I14" s="39">
        <f>H14*F14</f>
        <v>4</v>
      </c>
      <c r="J14" s="39">
        <v>1</v>
      </c>
      <c r="K14" s="40">
        <f t="shared" si="2"/>
        <v>4</v>
      </c>
      <c r="L14" s="39" t="str">
        <f t="shared" si="3"/>
        <v>Minor</v>
      </c>
      <c r="M14" s="79" t="s">
        <v>48</v>
      </c>
      <c r="N14" s="26" t="s">
        <v>49</v>
      </c>
      <c r="O14" s="26" t="s">
        <v>41</v>
      </c>
      <c r="P14" s="25" t="s">
        <v>50</v>
      </c>
      <c r="Q14" s="3"/>
      <c r="R14" s="3"/>
      <c r="S14" s="3"/>
      <c r="T14" s="3"/>
      <c r="U14" s="3"/>
      <c r="V14" s="3"/>
      <c r="W14" s="9"/>
      <c r="X14" s="6"/>
      <c r="Y14" s="6"/>
      <c r="Z14" s="6"/>
      <c r="AA14" s="6"/>
    </row>
    <row r="15" spans="1:27" s="49" customFormat="1" ht="33" customHeight="1" x14ac:dyDescent="0.2">
      <c r="A15" s="36"/>
      <c r="B15" s="37"/>
      <c r="C15" s="54"/>
      <c r="D15" s="38"/>
      <c r="E15" s="58"/>
      <c r="F15" s="47"/>
      <c r="G15" s="45"/>
      <c r="H15" s="47"/>
      <c r="I15" s="47"/>
      <c r="J15" s="47"/>
      <c r="K15" s="48"/>
      <c r="L15" s="47"/>
      <c r="M15" s="80"/>
      <c r="N15" s="43" t="s">
        <v>35</v>
      </c>
      <c r="O15" s="26" t="s">
        <v>34</v>
      </c>
      <c r="P15" s="25"/>
      <c r="Q15" s="3"/>
      <c r="R15" s="3"/>
      <c r="S15" s="3"/>
      <c r="T15" s="3"/>
      <c r="U15" s="3"/>
      <c r="V15" s="3"/>
      <c r="W15" s="9"/>
      <c r="X15" s="6"/>
      <c r="Y15" s="6"/>
      <c r="Z15" s="6"/>
      <c r="AA15" s="6"/>
    </row>
    <row r="16" spans="1:27" s="49" customFormat="1" ht="51" x14ac:dyDescent="0.2">
      <c r="A16" s="56"/>
      <c r="B16" s="57"/>
      <c r="C16" s="78"/>
      <c r="D16" s="32" t="s">
        <v>51</v>
      </c>
      <c r="E16" s="42" t="s">
        <v>52</v>
      </c>
      <c r="F16" s="13">
        <v>3</v>
      </c>
      <c r="G16" s="26" t="s">
        <v>53</v>
      </c>
      <c r="H16" s="13">
        <v>2</v>
      </c>
      <c r="I16" s="13"/>
      <c r="J16" s="13">
        <v>2</v>
      </c>
      <c r="K16" s="19">
        <f t="shared" ref="K16" si="4">F16*H16*J16</f>
        <v>12</v>
      </c>
      <c r="L16" s="13" t="str">
        <f t="shared" ref="L16" si="5">IF(AND(I16&lt;=4),"Minor",IF(AND(I16&gt;4,I16&lt;13),"Major",IF(AND(I16&gt;=15),"Critical")))</f>
        <v>Minor</v>
      </c>
      <c r="M16" s="32" t="s">
        <v>54</v>
      </c>
      <c r="N16" s="44" t="s">
        <v>55</v>
      </c>
      <c r="O16" s="26" t="s">
        <v>41</v>
      </c>
      <c r="P16" s="25" t="s">
        <v>50</v>
      </c>
      <c r="Q16" s="3"/>
      <c r="R16" s="3"/>
      <c r="S16" s="3"/>
      <c r="T16" s="3"/>
      <c r="U16" s="3"/>
      <c r="V16" s="3"/>
      <c r="W16" s="9"/>
      <c r="X16" s="6"/>
      <c r="Y16" s="6"/>
      <c r="Z16" s="6"/>
      <c r="AA16" s="6"/>
    </row>
    <row r="17" spans="2:27" s="55" customFormat="1" ht="99.95" customHeight="1" x14ac:dyDescent="0.2">
      <c r="B17" s="65" t="s">
        <v>20</v>
      </c>
      <c r="C17" s="65"/>
      <c r="D17" s="65"/>
      <c r="E17" s="65"/>
      <c r="F17" s="65"/>
      <c r="G17" s="65"/>
      <c r="H17" s="65"/>
      <c r="I17" s="65"/>
      <c r="J17" s="65"/>
      <c r="W17" s="7"/>
      <c r="X17" s="7"/>
      <c r="Y17" s="7"/>
      <c r="Z17" s="7"/>
      <c r="AA17" s="7"/>
    </row>
    <row r="18" spans="2:27" s="49" customFormat="1" ht="21" customHeight="1" x14ac:dyDescent="0.2">
      <c r="B18" s="59" t="s">
        <v>24</v>
      </c>
      <c r="C18" s="59"/>
      <c r="D18" s="59"/>
      <c r="K18" s="59" t="s">
        <v>25</v>
      </c>
      <c r="L18" s="59"/>
      <c r="M18" s="59"/>
      <c r="P18" s="11"/>
      <c r="Q18" s="11"/>
      <c r="S18" s="59" t="s">
        <v>26</v>
      </c>
      <c r="T18" s="59"/>
      <c r="U18" s="59"/>
      <c r="V18" s="59"/>
      <c r="W18" s="59"/>
    </row>
    <row r="19" spans="2:27" s="49" customFormat="1" ht="84.75" customHeight="1" x14ac:dyDescent="0.2">
      <c r="B19" s="60" t="s">
        <v>56</v>
      </c>
      <c r="C19" s="60"/>
      <c r="D19" s="60"/>
      <c r="J19" s="10"/>
      <c r="K19" s="60" t="s">
        <v>57</v>
      </c>
      <c r="L19" s="60"/>
      <c r="M19" s="60"/>
      <c r="P19" s="10"/>
      <c r="Q19" s="10"/>
      <c r="R19" s="10"/>
      <c r="S19" s="60" t="s">
        <v>19</v>
      </c>
      <c r="T19" s="60"/>
      <c r="U19" s="60"/>
      <c r="V19" s="60"/>
      <c r="W19" s="60"/>
    </row>
    <row r="20" spans="2:27" s="15" customFormat="1" ht="60" customHeight="1" x14ac:dyDescent="0.2">
      <c r="B20" s="64"/>
      <c r="C20" s="64"/>
      <c r="W20" s="7"/>
      <c r="X20" s="7"/>
      <c r="Y20" s="7"/>
      <c r="Z20" s="7"/>
      <c r="AA20" s="7"/>
    </row>
    <row r="21" spans="2:27" s="15" customFormat="1" ht="60" customHeight="1" x14ac:dyDescent="0.2">
      <c r="B21" s="64"/>
      <c r="C21" s="64"/>
      <c r="W21" s="7"/>
      <c r="X21" s="7"/>
      <c r="Y21" s="7"/>
      <c r="Z21" s="7"/>
      <c r="AA21" s="7"/>
    </row>
    <row r="22" spans="2:27" s="15" customFormat="1" ht="60" customHeight="1" x14ac:dyDescent="0.2">
      <c r="B22" s="64"/>
      <c r="C22" s="64"/>
      <c r="W22" s="7"/>
      <c r="X22" s="7"/>
      <c r="Y22" s="7"/>
      <c r="Z22" s="7"/>
      <c r="AA22" s="7"/>
    </row>
    <row r="23" spans="2:27" s="15" customFormat="1" ht="60" customHeight="1" x14ac:dyDescent="0.2">
      <c r="B23" s="64"/>
      <c r="C23" s="64"/>
      <c r="W23" s="7"/>
      <c r="X23" s="7"/>
      <c r="Y23" s="7"/>
      <c r="Z23" s="7"/>
      <c r="AA23" s="7"/>
    </row>
    <row r="24" spans="2:27" s="15" customFormat="1" ht="60" customHeight="1" x14ac:dyDescent="0.2">
      <c r="B24" s="64"/>
      <c r="C24" s="64"/>
      <c r="W24" s="7"/>
      <c r="X24" s="7"/>
      <c r="Y24" s="7"/>
      <c r="Z24" s="7"/>
      <c r="AA24" s="7"/>
    </row>
    <row r="25" spans="2:27" s="15" customFormat="1" ht="60" customHeight="1" x14ac:dyDescent="0.2">
      <c r="B25" s="64"/>
      <c r="C25" s="64"/>
      <c r="W25" s="7"/>
      <c r="X25" s="7"/>
      <c r="Y25" s="7"/>
      <c r="Z25" s="7"/>
      <c r="AA25" s="7"/>
    </row>
    <row r="26" spans="2:27" s="15" customFormat="1" ht="60" customHeight="1" x14ac:dyDescent="0.2">
      <c r="B26" s="64"/>
      <c r="C26" s="64"/>
      <c r="W26" s="7"/>
      <c r="X26" s="7"/>
      <c r="Y26" s="7"/>
      <c r="Z26" s="7"/>
      <c r="AA26" s="7"/>
    </row>
    <row r="27" spans="2:27" s="15" customFormat="1" ht="60" customHeight="1" x14ac:dyDescent="0.2">
      <c r="B27" s="64"/>
      <c r="C27" s="64"/>
      <c r="W27" s="7"/>
      <c r="X27" s="7"/>
      <c r="Y27" s="7"/>
      <c r="Z27" s="7"/>
      <c r="AA27" s="7"/>
    </row>
    <row r="28" spans="2:27" s="15" customFormat="1" ht="60" customHeight="1" x14ac:dyDescent="0.2">
      <c r="B28" s="64"/>
      <c r="C28" s="64"/>
      <c r="W28" s="7"/>
      <c r="X28" s="7"/>
      <c r="Y28" s="7"/>
      <c r="Z28" s="7"/>
      <c r="AA28" s="7"/>
    </row>
    <row r="29" spans="2:27" s="15" customFormat="1" ht="60" customHeight="1" x14ac:dyDescent="0.2">
      <c r="B29" s="64"/>
      <c r="C29" s="64"/>
      <c r="W29" s="7"/>
      <c r="X29" s="7"/>
      <c r="Y29" s="7"/>
      <c r="Z29" s="7"/>
      <c r="AA29" s="7"/>
    </row>
    <row r="30" spans="2:27" s="16" customFormat="1" ht="60" customHeight="1" x14ac:dyDescent="0.2">
      <c r="B30" s="63"/>
      <c r="C30" s="63"/>
      <c r="W30" s="8"/>
      <c r="X30" s="8"/>
      <c r="Y30" s="8"/>
      <c r="Z30" s="8"/>
      <c r="AA30" s="8"/>
    </row>
    <row r="31" spans="2:27" s="16" customFormat="1" ht="60" customHeight="1" x14ac:dyDescent="0.2">
      <c r="B31" s="63"/>
      <c r="C31" s="63"/>
      <c r="W31" s="8"/>
      <c r="X31" s="8"/>
      <c r="Y31" s="8"/>
      <c r="Z31" s="8"/>
      <c r="AA31" s="8"/>
    </row>
    <row r="32" spans="2:27" s="16" customFormat="1" ht="60" customHeight="1" x14ac:dyDescent="0.2">
      <c r="B32" s="63"/>
      <c r="C32" s="63"/>
      <c r="W32" s="8"/>
      <c r="X32" s="8"/>
      <c r="Y32" s="8"/>
      <c r="Z32" s="8"/>
      <c r="AA32" s="8"/>
    </row>
    <row r="33" spans="2:27" s="16" customFormat="1" ht="60" customHeight="1" x14ac:dyDescent="0.2">
      <c r="B33" s="63"/>
      <c r="C33" s="63"/>
      <c r="W33" s="8"/>
      <c r="X33" s="8"/>
      <c r="Y33" s="8"/>
      <c r="Z33" s="8"/>
      <c r="AA33" s="8"/>
    </row>
    <row r="34" spans="2:27" s="16" customFormat="1" ht="60" customHeight="1" x14ac:dyDescent="0.2">
      <c r="B34" s="63"/>
      <c r="C34" s="63"/>
      <c r="W34" s="8"/>
      <c r="X34" s="8"/>
      <c r="Y34" s="8"/>
      <c r="Z34" s="8"/>
      <c r="AA34" s="8"/>
    </row>
    <row r="35" spans="2:27" s="16" customFormat="1" ht="60" customHeight="1" x14ac:dyDescent="0.2">
      <c r="B35" s="63"/>
      <c r="C35" s="63"/>
      <c r="W35" s="8"/>
      <c r="X35" s="8"/>
      <c r="Y35" s="8"/>
      <c r="Z35" s="8"/>
      <c r="AA35" s="8"/>
    </row>
    <row r="36" spans="2:27" s="16" customFormat="1" ht="60" customHeight="1" x14ac:dyDescent="0.2">
      <c r="B36" s="63"/>
      <c r="C36" s="63"/>
      <c r="W36" s="8"/>
      <c r="X36" s="8"/>
      <c r="Y36" s="8"/>
      <c r="Z36" s="8"/>
      <c r="AA36" s="8"/>
    </row>
    <row r="37" spans="2:27" s="16" customFormat="1" ht="60" customHeight="1" x14ac:dyDescent="0.2">
      <c r="B37" s="63"/>
      <c r="C37" s="63"/>
      <c r="W37" s="8"/>
      <c r="X37" s="8"/>
      <c r="Y37" s="8"/>
      <c r="Z37" s="8"/>
      <c r="AA37" s="8"/>
    </row>
    <row r="38" spans="2:27" s="16" customFormat="1" ht="60" customHeight="1" x14ac:dyDescent="0.2">
      <c r="B38" s="63"/>
      <c r="C38" s="63"/>
      <c r="W38" s="8"/>
      <c r="X38" s="8"/>
      <c r="Y38" s="8"/>
      <c r="Z38" s="8"/>
      <c r="AA38" s="8"/>
    </row>
    <row r="39" spans="2:27" s="16" customFormat="1" ht="60" customHeight="1" x14ac:dyDescent="0.2">
      <c r="B39" s="63"/>
      <c r="C39" s="63"/>
      <c r="W39" s="8"/>
      <c r="X39" s="8"/>
      <c r="Y39" s="8"/>
      <c r="Z39" s="8"/>
      <c r="AA39" s="8"/>
    </row>
    <row r="40" spans="2:27" s="16" customFormat="1" ht="60" customHeight="1" x14ac:dyDescent="0.2">
      <c r="B40" s="63"/>
      <c r="C40" s="63"/>
      <c r="W40" s="8"/>
      <c r="X40" s="8"/>
      <c r="Y40" s="8"/>
      <c r="Z40" s="8"/>
      <c r="AA40" s="8"/>
    </row>
    <row r="41" spans="2:27" s="16" customFormat="1" ht="60" customHeight="1" x14ac:dyDescent="0.2">
      <c r="B41" s="63"/>
      <c r="C41" s="63"/>
      <c r="W41" s="8"/>
      <c r="X41" s="8"/>
      <c r="Y41" s="8"/>
      <c r="Z41" s="8"/>
      <c r="AA41" s="8"/>
    </row>
    <row r="42" spans="2:27" s="16" customFormat="1" ht="60" customHeight="1" x14ac:dyDescent="0.2">
      <c r="B42" s="63"/>
      <c r="C42" s="63"/>
      <c r="W42" s="8"/>
      <c r="X42" s="8"/>
      <c r="Y42" s="8"/>
      <c r="Z42" s="8"/>
      <c r="AA42" s="8"/>
    </row>
    <row r="43" spans="2:27" s="16" customFormat="1" ht="60" customHeight="1" x14ac:dyDescent="0.2">
      <c r="B43" s="63"/>
      <c r="C43" s="63"/>
      <c r="W43" s="8"/>
      <c r="X43" s="8"/>
      <c r="Y43" s="8"/>
      <c r="Z43" s="8"/>
      <c r="AA43" s="8"/>
    </row>
    <row r="44" spans="2:27" s="16" customFormat="1" ht="60" customHeight="1" x14ac:dyDescent="0.2">
      <c r="B44" s="63"/>
      <c r="C44" s="63"/>
      <c r="W44" s="8"/>
      <c r="X44" s="8"/>
      <c r="Y44" s="8"/>
      <c r="Z44" s="8"/>
      <c r="AA44" s="8"/>
    </row>
    <row r="45" spans="2:27" s="16" customFormat="1" ht="60" customHeight="1" x14ac:dyDescent="0.2">
      <c r="B45" s="63"/>
      <c r="C45" s="63"/>
      <c r="W45" s="8"/>
      <c r="X45" s="8"/>
      <c r="Y45" s="8"/>
      <c r="Z45" s="8"/>
      <c r="AA45" s="8"/>
    </row>
    <row r="46" spans="2:27" s="16" customFormat="1" ht="60" customHeight="1" x14ac:dyDescent="0.2">
      <c r="B46" s="63"/>
      <c r="C46" s="63"/>
      <c r="W46" s="8"/>
      <c r="X46" s="8"/>
      <c r="Y46" s="8"/>
      <c r="Z46" s="8"/>
      <c r="AA46" s="8"/>
    </row>
    <row r="47" spans="2:27" s="16" customFormat="1" ht="60" customHeight="1" x14ac:dyDescent="0.2">
      <c r="B47" s="63"/>
      <c r="C47" s="63"/>
      <c r="W47" s="8"/>
      <c r="X47" s="8"/>
      <c r="Y47" s="8"/>
      <c r="Z47" s="8"/>
      <c r="AA47" s="8"/>
    </row>
    <row r="48" spans="2:27" s="16" customFormat="1" ht="60" customHeight="1" x14ac:dyDescent="0.2">
      <c r="B48" s="63"/>
      <c r="C48" s="63"/>
      <c r="W48" s="8"/>
      <c r="X48" s="8"/>
      <c r="Y48" s="8"/>
      <c r="Z48" s="8"/>
      <c r="AA48" s="8"/>
    </row>
    <row r="49" spans="2:27" s="16" customFormat="1" ht="60" customHeight="1" x14ac:dyDescent="0.2">
      <c r="B49" s="63"/>
      <c r="C49" s="63"/>
      <c r="W49" s="8"/>
      <c r="X49" s="8"/>
      <c r="Y49" s="8"/>
      <c r="Z49" s="8"/>
      <c r="AA49" s="8"/>
    </row>
    <row r="50" spans="2:27" s="16" customFormat="1" ht="60" customHeight="1" x14ac:dyDescent="0.2">
      <c r="B50" s="63"/>
      <c r="C50" s="63"/>
      <c r="W50" s="8"/>
      <c r="X50" s="8"/>
      <c r="Y50" s="8"/>
      <c r="Z50" s="8"/>
      <c r="AA50" s="8"/>
    </row>
    <row r="51" spans="2:27" s="16" customFormat="1" ht="60" customHeight="1" x14ac:dyDescent="0.2">
      <c r="B51" s="63"/>
      <c r="C51" s="63"/>
      <c r="W51" s="8"/>
      <c r="X51" s="8"/>
      <c r="Y51" s="8"/>
      <c r="Z51" s="8"/>
      <c r="AA51" s="8"/>
    </row>
    <row r="52" spans="2:27" s="16" customFormat="1" x14ac:dyDescent="0.2">
      <c r="B52" s="17"/>
      <c r="W52" s="8"/>
      <c r="X52" s="8"/>
      <c r="Y52" s="8"/>
      <c r="Z52" s="8"/>
      <c r="AA52" s="8"/>
    </row>
    <row r="53" spans="2:27" s="16" customFormat="1" x14ac:dyDescent="0.2">
      <c r="B53" s="17"/>
      <c r="W53" s="8"/>
      <c r="X53" s="8"/>
      <c r="Y53" s="8"/>
      <c r="Z53" s="8"/>
      <c r="AA53" s="8"/>
    </row>
  </sheetData>
  <mergeCells count="63">
    <mergeCell ref="A1:B1"/>
    <mergeCell ref="A2:B2"/>
    <mergeCell ref="A3:B3"/>
    <mergeCell ref="A10:A11"/>
    <mergeCell ref="B10:C11"/>
    <mergeCell ref="A5:U5"/>
    <mergeCell ref="A7:B7"/>
    <mergeCell ref="A8:B8"/>
    <mergeCell ref="R10:V10"/>
    <mergeCell ref="J10:J11"/>
    <mergeCell ref="K10:K11"/>
    <mergeCell ref="M10:M11"/>
    <mergeCell ref="N10:N11"/>
    <mergeCell ref="L10:L11"/>
    <mergeCell ref="B17:J17"/>
    <mergeCell ref="B19:D19"/>
    <mergeCell ref="I10:I11"/>
    <mergeCell ref="B18:D18"/>
    <mergeCell ref="K18:M18"/>
    <mergeCell ref="K19:M19"/>
    <mergeCell ref="G10:G11"/>
    <mergeCell ref="H10:H11"/>
    <mergeCell ref="D10:D11"/>
    <mergeCell ref="E10:E11"/>
    <mergeCell ref="F10:F11"/>
    <mergeCell ref="B42:C42"/>
    <mergeCell ref="B43:C43"/>
    <mergeCell ref="B36:C36"/>
    <mergeCell ref="B37:C37"/>
    <mergeCell ref="B38:C38"/>
    <mergeCell ref="B39:C39"/>
    <mergeCell ref="B40:C40"/>
    <mergeCell ref="B41:C41"/>
    <mergeCell ref="B48:C48"/>
    <mergeCell ref="B49:C49"/>
    <mergeCell ref="B50:C50"/>
    <mergeCell ref="B51:C51"/>
    <mergeCell ref="B44:C44"/>
    <mergeCell ref="B45:C45"/>
    <mergeCell ref="B46:C46"/>
    <mergeCell ref="B47:C47"/>
    <mergeCell ref="B35:C35"/>
    <mergeCell ref="B29:C29"/>
    <mergeCell ref="B20:C20"/>
    <mergeCell ref="B21:C21"/>
    <mergeCell ref="B22:C22"/>
    <mergeCell ref="B23:C23"/>
    <mergeCell ref="B24:C24"/>
    <mergeCell ref="B27:C27"/>
    <mergeCell ref="B28:C28"/>
    <mergeCell ref="B30:C30"/>
    <mergeCell ref="B31:C31"/>
    <mergeCell ref="B32:C32"/>
    <mergeCell ref="B33:C33"/>
    <mergeCell ref="B34:C34"/>
    <mergeCell ref="B25:C25"/>
    <mergeCell ref="B26:C26"/>
    <mergeCell ref="S18:W18"/>
    <mergeCell ref="S19:W19"/>
    <mergeCell ref="W10:W11"/>
    <mergeCell ref="P10:P11"/>
    <mergeCell ref="O10:O11"/>
    <mergeCell ref="Q10:Q11"/>
  </mergeCells>
  <phoneticPr fontId="9" type="noConversion"/>
  <conditionalFormatting sqref="P12:P16">
    <cfRule type="cellIs" dxfId="0" priority="1" operator="equal">
      <formula>"diisi"</formula>
    </cfRule>
  </conditionalFormatting>
  <pageMargins left="0.25" right="0.25" top="0.75" bottom="0.75" header="0.3" footer="0.3"/>
  <pageSetup paperSize="9" scale="48" fitToHeight="0" orientation="landscape" horizontalDpi="360" verticalDpi="360" r:id="rId1"/>
  <headerFooter>
    <oddFooter>&amp;R&amp;"Tahoma,Italic"&amp;12Page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Mutu</dc:creator>
  <cp:lastModifiedBy>HP</cp:lastModifiedBy>
  <cp:lastPrinted>2021-03-12T02:44:34Z</cp:lastPrinted>
  <dcterms:created xsi:type="dcterms:W3CDTF">2017-12-20T01:10:30Z</dcterms:created>
  <dcterms:modified xsi:type="dcterms:W3CDTF">2021-12-09T02:12:39Z</dcterms:modified>
</cp:coreProperties>
</file>