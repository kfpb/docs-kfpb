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ia Farma\Downloads\"/>
    </mc:Choice>
  </mc:AlternateContent>
  <xr:revisionPtr revIDLastSave="0" documentId="13_ncr:1_{02F53578-2BB9-4CED-9471-CA97AEAF6689}" xr6:coauthVersionLast="46" xr6:coauthVersionMax="47" xr10:uidLastSave="{00000000-0000-0000-0000-000000000000}"/>
  <bookViews>
    <workbookView xWindow="-120" yWindow="-120" windowWidth="20730" windowHeight="11160" xr2:uid="{2EE6E7AA-6CE2-4560-BFE1-BBCCF9A9B06C}"/>
  </bookViews>
  <sheets>
    <sheet name="Sheet1" sheetId="1" r:id="rId1"/>
  </sheets>
  <definedNames>
    <definedName name="_xlnm._FilterDatabase" localSheetId="0" hidden="1">Sheet1!$A$2:$H$27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9" i="1" l="1"/>
  <c r="F19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20" i="1"/>
  <c r="F21" i="1"/>
  <c r="F22" i="1"/>
  <c r="F23" i="1"/>
  <c r="F24" i="1"/>
  <c r="F25" i="1"/>
  <c r="F26" i="1"/>
  <c r="F27" i="1"/>
  <c r="F3" i="1"/>
</calcChain>
</file>

<file path=xl/sharedStrings.xml><?xml version="1.0" encoding="utf-8"?>
<sst xmlns="http://schemas.openxmlformats.org/spreadsheetml/2006/main" count="162" uniqueCount="95">
  <si>
    <t>Nama Produk</t>
  </si>
  <si>
    <t>Produk Hasil Timbang di WIP per 7 November 2023</t>
  </si>
  <si>
    <t>No</t>
  </si>
  <si>
    <t>Nomor Batch</t>
  </si>
  <si>
    <t>Tanggal Timbang</t>
  </si>
  <si>
    <t>Status</t>
  </si>
  <si>
    <t>Phenobarbital</t>
  </si>
  <si>
    <t>G20067NX</t>
  </si>
  <si>
    <t>G20068NX</t>
  </si>
  <si>
    <t>C30023NX</t>
  </si>
  <si>
    <t>Guaifenesin</t>
  </si>
  <si>
    <t>H30064NX</t>
  </si>
  <si>
    <t>H30065NX</t>
  </si>
  <si>
    <t>H30066NX</t>
  </si>
  <si>
    <t>TTD NEO</t>
  </si>
  <si>
    <t>G30047NX</t>
  </si>
  <si>
    <t>Loprezol Caps</t>
  </si>
  <si>
    <t>K20129NX</t>
  </si>
  <si>
    <t>Atorvastatin 20 mg</t>
  </si>
  <si>
    <t>Vitamin C 50</t>
  </si>
  <si>
    <t>G30060NX</t>
  </si>
  <si>
    <t>Vitamin C 100</t>
  </si>
  <si>
    <t>G30054NX</t>
  </si>
  <si>
    <t>G30055NX</t>
  </si>
  <si>
    <t>G30056NX</t>
  </si>
  <si>
    <t>H31575N</t>
  </si>
  <si>
    <t>H31576N</t>
  </si>
  <si>
    <t>Zinc Anggur 20 mg</t>
  </si>
  <si>
    <t>I31839N</t>
  </si>
  <si>
    <t>I31840N</t>
  </si>
  <si>
    <t>PIC</t>
  </si>
  <si>
    <t>J32141N</t>
  </si>
  <si>
    <t>INH 300</t>
  </si>
  <si>
    <t>J32203N</t>
  </si>
  <si>
    <t>J32204N</t>
  </si>
  <si>
    <t>J32205N</t>
  </si>
  <si>
    <t>J32206N</t>
  </si>
  <si>
    <t>J32207N</t>
  </si>
  <si>
    <t>J32208N</t>
  </si>
  <si>
    <t>J32209N</t>
  </si>
  <si>
    <t>J32210N</t>
  </si>
  <si>
    <t>Selisih Hari s/d 7 November 2023</t>
  </si>
  <si>
    <t>Disimpan sampai</t>
  </si>
  <si>
    <t>Pendukung Teknis</t>
  </si>
  <si>
    <t>Dilanjutkan untuk proses</t>
  </si>
  <si>
    <t>akan Dimusnahkan</t>
  </si>
  <si>
    <t>Menunggu Bahan Lengkap</t>
  </si>
  <si>
    <t>Produksi Farma 2</t>
  </si>
  <si>
    <t>Produksi Farma 1</t>
  </si>
  <si>
    <t xml:space="preserve">Latar belakang </t>
  </si>
  <si>
    <t>Kapasitas penyimpanan produk antara dan ruahan tidak mencukupi</t>
  </si>
  <si>
    <t>Penghentian sementara pengemasan primer tablet non BL menyebabkan proses pengolahan terhambat/dihentikan</t>
  </si>
  <si>
    <t>Usulan penggunaan bersama area Staging After Weighing untuk penyimpanan hasil timbang, produk antara, dan produk ruahan</t>
  </si>
  <si>
    <t>Masa simpan hasil timbang ditetapkan di prosedur Penyimpanan dan Pengeluaran Produk adalah 30 hari</t>
  </si>
  <si>
    <t>Beberapa hasil timbang sudah melewati masa simpan</t>
  </si>
  <si>
    <t>Pembahasan</t>
  </si>
  <si>
    <t>Jika tidak diproses, bagaimana penanganannya?</t>
  </si>
  <si>
    <t>HCQ</t>
  </si>
  <si>
    <t>Untuk yang akan dimusnahkan</t>
  </si>
  <si>
    <t>untuk kembali ke stok harus dilakukan cancel GI</t>
  </si>
  <si>
    <t>yang perlu diperhatikan : kualitas dari bahan bakunya</t>
  </si>
  <si>
    <t>Nilai barang</t>
  </si>
  <si>
    <t>Alasan pemusnahan</t>
  </si>
  <si>
    <t>jika harga pemusnahan lebih rendah dari harga pemeriksaan maka diusulkan dimusnahkan (usul QC)</t>
  </si>
  <si>
    <t>Opsi 1</t>
  </si>
  <si>
    <t>Opsi 2</t>
  </si>
  <si>
    <t>PT melakukan reservasi atas bahan yang sudah dibuat PO sebelumnya</t>
  </si>
  <si>
    <t>PS melakukan GI ulang</t>
  </si>
  <si>
    <t>Fisik ditarik oleh PT untuk dimusnahkan</t>
  </si>
  <si>
    <t>Dilakukan proses sesuai routing SAP, dengan tidak memasukkan activity cost.</t>
  </si>
  <si>
    <t>Cancel GI atas PO oleh PS</t>
  </si>
  <si>
    <t xml:space="preserve">Target </t>
  </si>
  <si>
    <t>PS</t>
  </si>
  <si>
    <t>Elvira (PT)</t>
  </si>
  <si>
    <t>Keputusan :</t>
  </si>
  <si>
    <t xml:space="preserve">Diambil opsi 2 </t>
  </si>
  <si>
    <t>Untuk routing Vit C 100 G30054NX yang dicoba dilakukan routing SAP akan dicancel karena diputuskan penanganannya sesuai Opsi 2</t>
  </si>
  <si>
    <t>Reservasi oleh PT dilakukan untuk GL 5202010101 Pemakaian Bahan Baku dan Pembantu Pabrik
CC 1106330A Pendukung Teknis</t>
  </si>
  <si>
    <t>Apakah hasil timbang ini akan diteruskan/diproses?</t>
  </si>
  <si>
    <t>Apakah memungkinkan secara fisik stok barang dikembalikan ke stok?</t>
  </si>
  <si>
    <t>Opsi penanganan</t>
  </si>
  <si>
    <t xml:space="preserve">Notulen Rapat Tindak Lanjut Hasil Timbang Produk Trial </t>
  </si>
  <si>
    <t>8 November 2023</t>
  </si>
  <si>
    <t xml:space="preserve">Notulis </t>
  </si>
  <si>
    <t>Diah Sofiyanti</t>
  </si>
  <si>
    <t>Peserta rapat</t>
  </si>
  <si>
    <t>Chandra P</t>
  </si>
  <si>
    <t>Elvira</t>
  </si>
  <si>
    <t>Bayu Sahyo</t>
  </si>
  <si>
    <t>Vivin B.</t>
  </si>
  <si>
    <t>Reonal A.</t>
  </si>
  <si>
    <t>Rahmad Denny</t>
  </si>
  <si>
    <t xml:space="preserve">Dinne N. </t>
  </si>
  <si>
    <t>produk trial</t>
  </si>
  <si>
    <t>Total (blok merah)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</si>
</sst>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1">
    <xf numFmtId="0" fontId="0" fillId="0" borderId="0" xfId="0"/>
    <xf numFmtId="0" fontId="1" fillId="0" borderId="0" xfId="0" applyFont="1"/>
    <xf numFmtId="0" fontId="0" fillId="0" borderId="1" xfId="0" applyBorder="1"/>
    <xf numFmtId="15" fontId="0" fillId="0" borderId="1" xfId="0" applyNumberFormat="1" applyBorder="1"/>
    <xf numFmtId="1" fontId="0" fillId="0" borderId="1" xfId="0" applyNumberFormat="1" applyBorder="1"/>
    <xf numFmtId="14" fontId="0" fillId="0" borderId="1" xfId="0" applyNumberFormat="1" applyBorder="1" applyAlignment="1">
      <alignment horizontal="right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0" fillId="0" borderId="0" xfId="0" applyBorder="1"/>
    <xf numFmtId="0" fontId="0" fillId="2" borderId="1" xfId="0" applyFill="1" applyBorder="1"/>
    <xf numFmtId="15" fontId="0" fillId="2" borderId="1" xfId="0" applyNumberFormat="1" applyFill="1" applyBorder="1"/>
    <xf numFmtId="1" fontId="0" fillId="2" borderId="1" xfId="0" applyNumberFormat="1" applyFill="1" applyBorder="1"/>
    <xf numFmtId="15" fontId="0" fillId="0" borderId="0" xfId="0" applyNumberFormat="1"/>
    <xf numFmtId="43" fontId="0" fillId="2" borderId="0" xfId="1" applyFont="1" applyFill="1"/>
    <xf numFmtId="0" fontId="0" fillId="0" borderId="0" xfId="0" applyAlignment="1"/>
    <xf numFmtId="0" fontId="0" fillId="3" borderId="0" xfId="0" applyFill="1"/>
    <xf numFmtId="0" fontId="0" fillId="0" borderId="0" xfId="0" applyAlignment="1">
      <alignment horizontal="left" vertical="top" wrapText="1"/>
    </xf>
    <xf numFmtId="0" fontId="0" fillId="3" borderId="0" xfId="0" applyFill="1" applyAlignment="1"/>
    <xf numFmtId="0" fontId="0" fillId="0" borderId="0" xfId="0" quotePrefix="1" applyAlignment="1"/>
    <xf numFmtId="43" fontId="0" fillId="2" borderId="1" xfId="1" applyFont="1" applyFill="1" applyBorder="1"/>
    <xf numFmtId="0" fontId="0" fillId="2" borderId="3" xfId="0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3D0C7-F7EF-4310-A25D-5AAABCE10C33}">
  <sheetPr filterMode="1"/>
  <dimension ref="A1:U61"/>
  <sheetViews>
    <sheetView tabSelected="1" workbookViewId="0">
      <selection activeCell="H32" sqref="H32"/>
    </sheetView>
  </sheetViews>
  <sheetFormatPr defaultRowHeight="15" x14ac:dyDescent="0.25"/>
  <cols>
    <col min="2" max="2" width="46.5703125" bestFit="1" customWidth="1"/>
    <col min="3" max="3" width="12.42578125" bestFit="1" customWidth="1"/>
    <col min="4" max="4" width="15.85546875" bestFit="1" customWidth="1"/>
    <col min="5" max="5" width="15.85546875" customWidth="1"/>
    <col min="6" max="6" width="20.7109375" customWidth="1"/>
    <col min="7" max="7" width="27.140625" customWidth="1"/>
    <col min="8" max="8" width="17.42578125" bestFit="1" customWidth="1"/>
    <col min="9" max="10" width="17.42578125" customWidth="1"/>
    <col min="20" max="20" width="10" bestFit="1" customWidth="1"/>
  </cols>
  <sheetData>
    <row r="1" spans="1:13" x14ac:dyDescent="0.25">
      <c r="B1" s="1" t="s">
        <v>1</v>
      </c>
    </row>
    <row r="2" spans="1:13" ht="30.75" customHeight="1" x14ac:dyDescent="0.25">
      <c r="A2" s="6" t="s">
        <v>2</v>
      </c>
      <c r="B2" s="6" t="s">
        <v>0</v>
      </c>
      <c r="C2" s="6" t="s">
        <v>3</v>
      </c>
      <c r="D2" s="6" t="s">
        <v>4</v>
      </c>
      <c r="E2" s="6" t="s">
        <v>42</v>
      </c>
      <c r="F2" s="6" t="s">
        <v>41</v>
      </c>
      <c r="G2" s="6" t="s">
        <v>5</v>
      </c>
      <c r="H2" s="6" t="s">
        <v>30</v>
      </c>
      <c r="I2" s="6" t="s">
        <v>61</v>
      </c>
      <c r="J2" s="6" t="s">
        <v>62</v>
      </c>
      <c r="L2" s="7" t="s">
        <v>49</v>
      </c>
    </row>
    <row r="3" spans="1:13" x14ac:dyDescent="0.25">
      <c r="A3" s="2">
        <v>1</v>
      </c>
      <c r="B3" s="2" t="s">
        <v>6</v>
      </c>
      <c r="C3" s="2" t="s">
        <v>7</v>
      </c>
      <c r="D3" s="3">
        <v>45119</v>
      </c>
      <c r="E3" s="3">
        <v>45237</v>
      </c>
      <c r="F3" s="4">
        <f>E3-D3</f>
        <v>118</v>
      </c>
      <c r="G3" s="2" t="s">
        <v>44</v>
      </c>
      <c r="H3" s="2" t="s">
        <v>43</v>
      </c>
      <c r="I3" s="2"/>
      <c r="J3" s="2"/>
      <c r="L3">
        <v>1</v>
      </c>
      <c r="M3" t="s">
        <v>51</v>
      </c>
    </row>
    <row r="4" spans="1:13" x14ac:dyDescent="0.25">
      <c r="A4" s="2">
        <v>2</v>
      </c>
      <c r="B4" s="2" t="s">
        <v>6</v>
      </c>
      <c r="C4" s="2" t="s">
        <v>8</v>
      </c>
      <c r="D4" s="3">
        <v>45120</v>
      </c>
      <c r="E4" s="3">
        <v>45237</v>
      </c>
      <c r="F4" s="4">
        <f t="shared" ref="F4:F27" si="0">E4-D4</f>
        <v>117</v>
      </c>
      <c r="G4" s="2" t="s">
        <v>44</v>
      </c>
      <c r="H4" s="2" t="s">
        <v>43</v>
      </c>
      <c r="I4" s="2"/>
      <c r="J4" s="2"/>
      <c r="L4">
        <v>2</v>
      </c>
      <c r="M4" t="s">
        <v>50</v>
      </c>
    </row>
    <row r="5" spans="1:13" x14ac:dyDescent="0.25">
      <c r="A5" s="9">
        <v>3</v>
      </c>
      <c r="B5" s="9" t="s">
        <v>57</v>
      </c>
      <c r="C5" s="9" t="s">
        <v>9</v>
      </c>
      <c r="D5" s="10">
        <v>45012</v>
      </c>
      <c r="E5" s="10">
        <v>45237</v>
      </c>
      <c r="F5" s="11">
        <f t="shared" si="0"/>
        <v>225</v>
      </c>
      <c r="G5" s="9" t="s">
        <v>45</v>
      </c>
      <c r="H5" s="9" t="s">
        <v>43</v>
      </c>
      <c r="I5" s="19">
        <v>152848072</v>
      </c>
      <c r="J5" s="9" t="s">
        <v>93</v>
      </c>
      <c r="L5">
        <v>3</v>
      </c>
      <c r="M5" t="s">
        <v>52</v>
      </c>
    </row>
    <row r="6" spans="1:13" x14ac:dyDescent="0.25">
      <c r="A6" s="2">
        <v>5</v>
      </c>
      <c r="B6" s="2" t="s">
        <v>10</v>
      </c>
      <c r="C6" s="2" t="s">
        <v>11</v>
      </c>
      <c r="D6" s="3">
        <v>45156</v>
      </c>
      <c r="E6" s="3">
        <v>45237</v>
      </c>
      <c r="F6" s="4">
        <f t="shared" si="0"/>
        <v>81</v>
      </c>
      <c r="G6" s="2" t="s">
        <v>44</v>
      </c>
      <c r="H6" s="2" t="s">
        <v>43</v>
      </c>
      <c r="I6" s="2"/>
      <c r="J6" s="2"/>
      <c r="L6">
        <v>4</v>
      </c>
      <c r="M6" t="s">
        <v>53</v>
      </c>
    </row>
    <row r="7" spans="1:13" x14ac:dyDescent="0.25">
      <c r="A7" s="2">
        <v>6</v>
      </c>
      <c r="B7" s="2" t="s">
        <v>10</v>
      </c>
      <c r="C7" s="2" t="s">
        <v>12</v>
      </c>
      <c r="D7" s="3">
        <v>45156</v>
      </c>
      <c r="E7" s="3">
        <v>45237</v>
      </c>
      <c r="F7" s="4">
        <f t="shared" si="0"/>
        <v>81</v>
      </c>
      <c r="G7" s="2" t="s">
        <v>44</v>
      </c>
      <c r="H7" s="2" t="s">
        <v>43</v>
      </c>
      <c r="I7" s="2"/>
      <c r="J7" s="2"/>
      <c r="L7">
        <v>5</v>
      </c>
      <c r="M7" t="s">
        <v>54</v>
      </c>
    </row>
    <row r="8" spans="1:13" x14ac:dyDescent="0.25">
      <c r="A8" s="2">
        <v>7</v>
      </c>
      <c r="B8" s="2" t="s">
        <v>10</v>
      </c>
      <c r="C8" s="2" t="s">
        <v>13</v>
      </c>
      <c r="D8" s="3">
        <v>45156</v>
      </c>
      <c r="E8" s="3">
        <v>45237</v>
      </c>
      <c r="F8" s="4">
        <f t="shared" si="0"/>
        <v>81</v>
      </c>
      <c r="G8" s="2" t="s">
        <v>44</v>
      </c>
      <c r="H8" s="2" t="s">
        <v>43</v>
      </c>
      <c r="I8" s="2"/>
      <c r="J8" s="2"/>
    </row>
    <row r="9" spans="1:13" x14ac:dyDescent="0.25">
      <c r="A9" s="2">
        <v>8</v>
      </c>
      <c r="B9" s="2" t="s">
        <v>14</v>
      </c>
      <c r="C9" s="2" t="s">
        <v>15</v>
      </c>
      <c r="D9" s="3">
        <v>45125</v>
      </c>
      <c r="E9" s="3">
        <v>45237</v>
      </c>
      <c r="F9" s="4">
        <f t="shared" si="0"/>
        <v>112</v>
      </c>
      <c r="G9" s="2" t="s">
        <v>44</v>
      </c>
      <c r="H9" s="2" t="s">
        <v>43</v>
      </c>
      <c r="I9" s="2"/>
      <c r="J9" s="2"/>
      <c r="L9" s="1" t="s">
        <v>55</v>
      </c>
    </row>
    <row r="10" spans="1:13" x14ac:dyDescent="0.25">
      <c r="A10" s="9">
        <v>9</v>
      </c>
      <c r="B10" s="9" t="s">
        <v>16</v>
      </c>
      <c r="C10" s="9" t="s">
        <v>17</v>
      </c>
      <c r="D10" s="10">
        <v>44880</v>
      </c>
      <c r="E10" s="10">
        <v>45237</v>
      </c>
      <c r="F10" s="11">
        <f t="shared" si="0"/>
        <v>357</v>
      </c>
      <c r="G10" s="9" t="s">
        <v>45</v>
      </c>
      <c r="H10" s="9" t="s">
        <v>43</v>
      </c>
      <c r="I10" s="19">
        <v>31364857</v>
      </c>
      <c r="J10" s="9" t="s">
        <v>93</v>
      </c>
      <c r="L10">
        <v>1</v>
      </c>
      <c r="M10" t="s">
        <v>78</v>
      </c>
    </row>
    <row r="11" spans="1:13" x14ac:dyDescent="0.25">
      <c r="A11" s="9">
        <v>10</v>
      </c>
      <c r="B11" s="9" t="s">
        <v>19</v>
      </c>
      <c r="C11" s="9" t="s">
        <v>20</v>
      </c>
      <c r="D11" s="10">
        <v>45134</v>
      </c>
      <c r="E11" s="10">
        <v>45237</v>
      </c>
      <c r="F11" s="11">
        <f t="shared" si="0"/>
        <v>103</v>
      </c>
      <c r="G11" s="9" t="s">
        <v>45</v>
      </c>
      <c r="H11" s="9" t="s">
        <v>43</v>
      </c>
      <c r="I11" s="19">
        <v>334116</v>
      </c>
      <c r="J11" s="9" t="s">
        <v>93</v>
      </c>
      <c r="L11">
        <v>2</v>
      </c>
      <c r="M11" t="s">
        <v>56</v>
      </c>
    </row>
    <row r="12" spans="1:13" x14ac:dyDescent="0.25">
      <c r="A12" s="9">
        <v>11</v>
      </c>
      <c r="B12" s="9" t="s">
        <v>21</v>
      </c>
      <c r="C12" s="9" t="s">
        <v>22</v>
      </c>
      <c r="D12" s="10">
        <v>45134</v>
      </c>
      <c r="E12" s="10">
        <v>45237</v>
      </c>
      <c r="F12" s="11">
        <f t="shared" si="0"/>
        <v>103</v>
      </c>
      <c r="G12" s="9" t="s">
        <v>45</v>
      </c>
      <c r="H12" s="9" t="s">
        <v>43</v>
      </c>
      <c r="I12" s="19">
        <v>347830</v>
      </c>
      <c r="J12" s="9" t="s">
        <v>93</v>
      </c>
    </row>
    <row r="13" spans="1:13" x14ac:dyDescent="0.25">
      <c r="A13" s="9">
        <v>12</v>
      </c>
      <c r="B13" s="9" t="s">
        <v>21</v>
      </c>
      <c r="C13" s="9" t="s">
        <v>23</v>
      </c>
      <c r="D13" s="10">
        <v>45134</v>
      </c>
      <c r="E13" s="10">
        <v>45237</v>
      </c>
      <c r="F13" s="11">
        <f t="shared" si="0"/>
        <v>103</v>
      </c>
      <c r="G13" s="9" t="s">
        <v>45</v>
      </c>
      <c r="H13" s="9" t="s">
        <v>43</v>
      </c>
      <c r="I13" s="19">
        <v>347830</v>
      </c>
      <c r="J13" s="9" t="s">
        <v>93</v>
      </c>
    </row>
    <row r="14" spans="1:13" x14ac:dyDescent="0.25">
      <c r="A14" s="9">
        <v>13</v>
      </c>
      <c r="B14" s="9" t="s">
        <v>21</v>
      </c>
      <c r="C14" s="9" t="s">
        <v>24</v>
      </c>
      <c r="D14" s="10">
        <v>45134</v>
      </c>
      <c r="E14" s="10">
        <v>45237</v>
      </c>
      <c r="F14" s="11">
        <f t="shared" si="0"/>
        <v>103</v>
      </c>
      <c r="G14" s="9" t="s">
        <v>45</v>
      </c>
      <c r="H14" s="9" t="s">
        <v>43</v>
      </c>
      <c r="I14" s="19">
        <v>347830</v>
      </c>
      <c r="J14" s="9" t="s">
        <v>93</v>
      </c>
    </row>
    <row r="15" spans="1:13" hidden="1" x14ac:dyDescent="0.25">
      <c r="A15" s="2">
        <v>14</v>
      </c>
      <c r="B15" s="2" t="s">
        <v>18</v>
      </c>
      <c r="C15" s="2" t="s">
        <v>25</v>
      </c>
      <c r="D15" s="3">
        <v>45162</v>
      </c>
      <c r="E15" s="3">
        <v>45237</v>
      </c>
      <c r="F15" s="4">
        <f t="shared" si="0"/>
        <v>75</v>
      </c>
      <c r="G15" s="2" t="s">
        <v>44</v>
      </c>
      <c r="H15" s="2" t="s">
        <v>48</v>
      </c>
      <c r="I15" s="8"/>
      <c r="J15" s="8"/>
    </row>
    <row r="16" spans="1:13" hidden="1" x14ac:dyDescent="0.25">
      <c r="A16" s="2">
        <v>15</v>
      </c>
      <c r="B16" s="2" t="s">
        <v>18</v>
      </c>
      <c r="C16" s="2" t="s">
        <v>26</v>
      </c>
      <c r="D16" s="3">
        <v>45162</v>
      </c>
      <c r="E16" s="3">
        <v>45237</v>
      </c>
      <c r="F16" s="4">
        <f t="shared" si="0"/>
        <v>75</v>
      </c>
      <c r="G16" s="2" t="s">
        <v>44</v>
      </c>
      <c r="H16" s="2" t="s">
        <v>48</v>
      </c>
      <c r="I16" s="8"/>
      <c r="J16" s="8"/>
    </row>
    <row r="17" spans="1:13" hidden="1" x14ac:dyDescent="0.25">
      <c r="A17" s="2">
        <v>16</v>
      </c>
      <c r="B17" s="2" t="s">
        <v>27</v>
      </c>
      <c r="C17" s="2" t="s">
        <v>28</v>
      </c>
      <c r="D17" s="3">
        <v>45221</v>
      </c>
      <c r="E17" s="3">
        <v>45237</v>
      </c>
      <c r="F17" s="4">
        <f t="shared" si="0"/>
        <v>16</v>
      </c>
      <c r="G17" s="2" t="s">
        <v>44</v>
      </c>
      <c r="H17" s="2" t="s">
        <v>48</v>
      </c>
      <c r="I17" s="8"/>
      <c r="J17" s="8"/>
    </row>
    <row r="18" spans="1:13" hidden="1" x14ac:dyDescent="0.25">
      <c r="A18" s="2">
        <v>17</v>
      </c>
      <c r="B18" s="2" t="s">
        <v>27</v>
      </c>
      <c r="C18" s="2" t="s">
        <v>29</v>
      </c>
      <c r="D18" s="3">
        <v>45222</v>
      </c>
      <c r="E18" s="3">
        <v>45237</v>
      </c>
      <c r="F18" s="4">
        <f t="shared" si="0"/>
        <v>15</v>
      </c>
      <c r="G18" s="2" t="s">
        <v>44</v>
      </c>
      <c r="H18" s="2" t="s">
        <v>48</v>
      </c>
      <c r="I18" s="8"/>
      <c r="J18" s="8"/>
    </row>
    <row r="19" spans="1:13" hidden="1" x14ac:dyDescent="0.25">
      <c r="A19" s="2">
        <v>18</v>
      </c>
      <c r="B19" s="2" t="s">
        <v>14</v>
      </c>
      <c r="C19" s="2" t="s">
        <v>31</v>
      </c>
      <c r="D19" s="5">
        <v>45229</v>
      </c>
      <c r="E19" s="3">
        <v>45237</v>
      </c>
      <c r="F19" s="4">
        <f>E19-D19</f>
        <v>8</v>
      </c>
      <c r="G19" s="2" t="s">
        <v>46</v>
      </c>
      <c r="H19" s="2" t="s">
        <v>47</v>
      </c>
      <c r="I19" s="8"/>
      <c r="J19" s="8"/>
    </row>
    <row r="20" spans="1:13" hidden="1" x14ac:dyDescent="0.25">
      <c r="A20" s="2">
        <v>19</v>
      </c>
      <c r="B20" s="2" t="s">
        <v>32</v>
      </c>
      <c r="C20" s="2" t="s">
        <v>33</v>
      </c>
      <c r="D20" s="5">
        <v>45229</v>
      </c>
      <c r="E20" s="3">
        <v>45237</v>
      </c>
      <c r="F20" s="4">
        <f t="shared" si="0"/>
        <v>8</v>
      </c>
      <c r="G20" s="2" t="s">
        <v>44</v>
      </c>
      <c r="H20" s="2" t="s">
        <v>48</v>
      </c>
      <c r="I20" s="8"/>
      <c r="J20" s="8"/>
    </row>
    <row r="21" spans="1:13" hidden="1" x14ac:dyDescent="0.25">
      <c r="A21" s="2">
        <v>20</v>
      </c>
      <c r="B21" s="2" t="s">
        <v>32</v>
      </c>
      <c r="C21" s="2" t="s">
        <v>34</v>
      </c>
      <c r="D21" s="3">
        <v>45230</v>
      </c>
      <c r="E21" s="3">
        <v>45237</v>
      </c>
      <c r="F21" s="4">
        <f t="shared" si="0"/>
        <v>7</v>
      </c>
      <c r="G21" s="2" t="s">
        <v>44</v>
      </c>
      <c r="H21" s="2" t="s">
        <v>48</v>
      </c>
      <c r="I21" s="8"/>
      <c r="J21" s="8"/>
    </row>
    <row r="22" spans="1:13" hidden="1" x14ac:dyDescent="0.25">
      <c r="A22" s="2">
        <v>21</v>
      </c>
      <c r="B22" s="2" t="s">
        <v>32</v>
      </c>
      <c r="C22" s="2" t="s">
        <v>35</v>
      </c>
      <c r="D22" s="3">
        <v>45230</v>
      </c>
      <c r="E22" s="3">
        <v>45237</v>
      </c>
      <c r="F22" s="4">
        <f t="shared" si="0"/>
        <v>7</v>
      </c>
      <c r="G22" s="2" t="s">
        <v>44</v>
      </c>
      <c r="H22" s="2" t="s">
        <v>48</v>
      </c>
      <c r="I22" s="8"/>
      <c r="J22" s="8"/>
    </row>
    <row r="23" spans="1:13" hidden="1" x14ac:dyDescent="0.25">
      <c r="A23" s="2">
        <v>22</v>
      </c>
      <c r="B23" s="2" t="s">
        <v>32</v>
      </c>
      <c r="C23" s="2" t="s">
        <v>36</v>
      </c>
      <c r="D23" s="3">
        <v>45230</v>
      </c>
      <c r="E23" s="3">
        <v>45237</v>
      </c>
      <c r="F23" s="4">
        <f t="shared" si="0"/>
        <v>7</v>
      </c>
      <c r="G23" s="2" t="s">
        <v>44</v>
      </c>
      <c r="H23" s="2" t="s">
        <v>48</v>
      </c>
      <c r="I23" s="8"/>
      <c r="J23" s="8"/>
    </row>
    <row r="24" spans="1:13" hidden="1" x14ac:dyDescent="0.25">
      <c r="A24" s="2">
        <v>23</v>
      </c>
      <c r="B24" s="2" t="s">
        <v>32</v>
      </c>
      <c r="C24" s="2" t="s">
        <v>37</v>
      </c>
      <c r="D24" s="3">
        <v>45231</v>
      </c>
      <c r="E24" s="3">
        <v>45237</v>
      </c>
      <c r="F24" s="4">
        <f t="shared" si="0"/>
        <v>6</v>
      </c>
      <c r="G24" s="2" t="s">
        <v>44</v>
      </c>
      <c r="H24" s="2" t="s">
        <v>48</v>
      </c>
      <c r="I24" s="8"/>
      <c r="J24" s="8"/>
    </row>
    <row r="25" spans="1:13" hidden="1" x14ac:dyDescent="0.25">
      <c r="A25" s="2">
        <v>24</v>
      </c>
      <c r="B25" s="2" t="s">
        <v>32</v>
      </c>
      <c r="C25" s="2" t="s">
        <v>38</v>
      </c>
      <c r="D25" s="3">
        <v>45231</v>
      </c>
      <c r="E25" s="3">
        <v>45237</v>
      </c>
      <c r="F25" s="4">
        <f t="shared" si="0"/>
        <v>6</v>
      </c>
      <c r="G25" s="2" t="s">
        <v>44</v>
      </c>
      <c r="H25" s="2" t="s">
        <v>48</v>
      </c>
      <c r="I25" s="8"/>
      <c r="J25" s="8"/>
    </row>
    <row r="26" spans="1:13" hidden="1" x14ac:dyDescent="0.25">
      <c r="A26" s="2">
        <v>25</v>
      </c>
      <c r="B26" s="2" t="s">
        <v>32</v>
      </c>
      <c r="C26" s="2" t="s">
        <v>39</v>
      </c>
      <c r="D26" s="3">
        <v>45231</v>
      </c>
      <c r="E26" s="3">
        <v>45237</v>
      </c>
      <c r="F26" s="4">
        <f t="shared" si="0"/>
        <v>6</v>
      </c>
      <c r="G26" s="2" t="s">
        <v>44</v>
      </c>
      <c r="H26" s="2" t="s">
        <v>48</v>
      </c>
      <c r="I26" s="8"/>
      <c r="J26" s="8"/>
    </row>
    <row r="27" spans="1:13" hidden="1" x14ac:dyDescent="0.25">
      <c r="A27" s="2">
        <v>26</v>
      </c>
      <c r="B27" s="2" t="s">
        <v>32</v>
      </c>
      <c r="C27" s="2" t="s">
        <v>40</v>
      </c>
      <c r="D27" s="3">
        <v>45231</v>
      </c>
      <c r="E27" s="3">
        <v>45237</v>
      </c>
      <c r="F27" s="4">
        <f t="shared" si="0"/>
        <v>6</v>
      </c>
      <c r="G27" s="2" t="s">
        <v>44</v>
      </c>
      <c r="H27" s="2" t="s">
        <v>48</v>
      </c>
      <c r="I27" s="8"/>
      <c r="J27" s="8"/>
    </row>
    <row r="28" spans="1:13" x14ac:dyDescent="0.25">
      <c r="A28" s="2"/>
      <c r="B28" s="2"/>
      <c r="C28" s="2"/>
      <c r="D28" s="2"/>
      <c r="E28" s="2"/>
      <c r="F28" s="2"/>
      <c r="G28" s="2"/>
      <c r="H28" s="2"/>
      <c r="I28" s="8"/>
      <c r="J28" s="8"/>
    </row>
    <row r="29" spans="1:13" x14ac:dyDescent="0.25">
      <c r="H29" s="20" t="s">
        <v>94</v>
      </c>
      <c r="I29" s="13">
        <f>SUBTOTAL(9,I5:I14)</f>
        <v>185590535</v>
      </c>
    </row>
    <row r="30" spans="1:13" x14ac:dyDescent="0.25">
      <c r="L30" s="1" t="s">
        <v>81</v>
      </c>
    </row>
    <row r="31" spans="1:13" x14ac:dyDescent="0.25">
      <c r="M31" t="s">
        <v>58</v>
      </c>
    </row>
    <row r="32" spans="1:13" x14ac:dyDescent="0.25">
      <c r="L32">
        <v>1</v>
      </c>
      <c r="M32" t="s">
        <v>79</v>
      </c>
    </row>
    <row r="33" spans="12:21" x14ac:dyDescent="0.25">
      <c r="M33" t="s">
        <v>59</v>
      </c>
    </row>
    <row r="34" spans="12:21" x14ac:dyDescent="0.25">
      <c r="M34" t="s">
        <v>60</v>
      </c>
    </row>
    <row r="35" spans="12:21" x14ac:dyDescent="0.25">
      <c r="M35" t="s">
        <v>63</v>
      </c>
    </row>
    <row r="37" spans="12:21" x14ac:dyDescent="0.25">
      <c r="L37">
        <v>2</v>
      </c>
      <c r="M37" t="s">
        <v>80</v>
      </c>
    </row>
    <row r="38" spans="12:21" x14ac:dyDescent="0.25">
      <c r="L38" t="s">
        <v>64</v>
      </c>
    </row>
    <row r="39" spans="12:21" x14ac:dyDescent="0.25">
      <c r="L39" t="s">
        <v>69</v>
      </c>
    </row>
    <row r="40" spans="12:21" x14ac:dyDescent="0.25">
      <c r="L40" t="s">
        <v>76</v>
      </c>
    </row>
    <row r="42" spans="12:21" x14ac:dyDescent="0.25">
      <c r="L42" s="15" t="s">
        <v>65</v>
      </c>
      <c r="T42" t="s">
        <v>71</v>
      </c>
      <c r="U42" t="s">
        <v>30</v>
      </c>
    </row>
    <row r="43" spans="12:21" x14ac:dyDescent="0.25">
      <c r="L43" t="s">
        <v>70</v>
      </c>
      <c r="T43" s="12">
        <v>45238</v>
      </c>
      <c r="U43" t="s">
        <v>72</v>
      </c>
    </row>
    <row r="44" spans="12:21" x14ac:dyDescent="0.25">
      <c r="L44" t="s">
        <v>66</v>
      </c>
      <c r="T44" s="12">
        <v>45239</v>
      </c>
      <c r="U44" t="s">
        <v>73</v>
      </c>
    </row>
    <row r="45" spans="12:21" x14ac:dyDescent="0.25">
      <c r="L45" t="s">
        <v>67</v>
      </c>
      <c r="T45" s="12">
        <v>45240</v>
      </c>
      <c r="U45" t="s">
        <v>72</v>
      </c>
    </row>
    <row r="46" spans="12:21" x14ac:dyDescent="0.25">
      <c r="L46" t="s">
        <v>68</v>
      </c>
      <c r="T46" s="12">
        <v>45238</v>
      </c>
      <c r="U46" t="s">
        <v>73</v>
      </c>
    </row>
    <row r="47" spans="12:21" ht="49.5" customHeight="1" x14ac:dyDescent="0.25">
      <c r="L47" s="16" t="s">
        <v>77</v>
      </c>
      <c r="M47" s="16"/>
      <c r="N47" s="16"/>
      <c r="O47" s="16"/>
      <c r="P47" s="16"/>
      <c r="Q47" s="16"/>
      <c r="R47" s="16"/>
      <c r="S47" s="16"/>
    </row>
    <row r="48" spans="12:21" x14ac:dyDescent="0.25">
      <c r="L48" s="17" t="s">
        <v>74</v>
      </c>
      <c r="M48" s="15"/>
    </row>
    <row r="49" spans="12:13" x14ac:dyDescent="0.25">
      <c r="L49" s="17" t="s">
        <v>75</v>
      </c>
      <c r="M49" s="15"/>
    </row>
    <row r="50" spans="12:13" x14ac:dyDescent="0.25">
      <c r="L50" s="14"/>
    </row>
    <row r="51" spans="12:13" x14ac:dyDescent="0.25">
      <c r="L51" s="14"/>
    </row>
    <row r="52" spans="12:13" x14ac:dyDescent="0.25">
      <c r="L52" s="18" t="s">
        <v>82</v>
      </c>
    </row>
    <row r="53" spans="12:13" x14ac:dyDescent="0.25">
      <c r="L53" t="s">
        <v>83</v>
      </c>
      <c r="M53" t="s">
        <v>84</v>
      </c>
    </row>
    <row r="54" spans="12:13" x14ac:dyDescent="0.25">
      <c r="L54" t="s">
        <v>85</v>
      </c>
    </row>
    <row r="55" spans="12:13" x14ac:dyDescent="0.25">
      <c r="L55" t="s">
        <v>86</v>
      </c>
    </row>
    <row r="56" spans="12:13" x14ac:dyDescent="0.25">
      <c r="L56" t="s">
        <v>87</v>
      </c>
    </row>
    <row r="57" spans="12:13" x14ac:dyDescent="0.25">
      <c r="L57" t="s">
        <v>88</v>
      </c>
    </row>
    <row r="58" spans="12:13" x14ac:dyDescent="0.25">
      <c r="L58" t="s">
        <v>89</v>
      </c>
    </row>
    <row r="59" spans="12:13" x14ac:dyDescent="0.25">
      <c r="L59" t="s">
        <v>90</v>
      </c>
    </row>
    <row r="60" spans="12:13" x14ac:dyDescent="0.25">
      <c r="L60" t="s">
        <v>91</v>
      </c>
    </row>
    <row r="61" spans="12:13" x14ac:dyDescent="0.25">
      <c r="L61" t="s">
        <v>92</v>
      </c>
    </row>
  </sheetData>
  <autoFilter ref="A2:H27" xr:uid="{3954ED5D-460A-4037-BA04-AF341688EDE2}">
    <filterColumn colId="2">
      <filters>
        <filter val="C30023NX"/>
        <filter val="G20067NX"/>
        <filter val="G20068NX"/>
        <filter val="G30047NX"/>
        <filter val="G30054NX"/>
        <filter val="G30055NX"/>
        <filter val="G30056NX"/>
        <filter val="G30060NX"/>
        <filter val="H30064NX"/>
        <filter val="H30065NX"/>
        <filter val="H30066NX"/>
        <filter val="K20129NX"/>
      </filters>
    </filterColumn>
  </autoFilter>
  <mergeCells count="1">
    <mergeCell ref="L47:S4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kf user103</dc:creator>
  <cp:lastModifiedBy>Kimia Farma</cp:lastModifiedBy>
  <dcterms:created xsi:type="dcterms:W3CDTF">2023-11-07T07:44:52Z</dcterms:created>
  <dcterms:modified xsi:type="dcterms:W3CDTF">2023-11-08T02:31:56Z</dcterms:modified>
</cp:coreProperties>
</file>